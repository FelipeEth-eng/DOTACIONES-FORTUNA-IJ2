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elipe_Eth\Documents\"/>
    </mc:Choice>
  </mc:AlternateContent>
  <xr:revisionPtr revIDLastSave="0" documentId="13_ncr:1_{BBDA5B53-BA3F-47D8-977F-62CDF220AE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isis de Mercado" sheetId="1" r:id="rId1"/>
    <sheet name="Estructura de Mercado" sheetId="2" r:id="rId2"/>
    <sheet name="Datos Economicos" sheetId="3" r:id="rId3"/>
    <sheet name="ParaFiscales" sheetId="4" r:id="rId4"/>
    <sheet name="Gastos de Constitución" sheetId="5" r:id="rId5"/>
    <sheet name="Plan de Inversion" sheetId="6" r:id="rId6"/>
    <sheet name="Gastos de Personal" sheetId="7" r:id="rId7"/>
    <sheet name="Gastos Administrativos" sheetId="8" r:id="rId8"/>
    <sheet name="Gastos de Marketing" sheetId="9" r:id="rId9"/>
    <sheet name="Producto 1" sheetId="10" r:id="rId10"/>
    <sheet name="Producto 2" sheetId="11" r:id="rId11"/>
    <sheet name="Producto 3" sheetId="12" r:id="rId12"/>
    <sheet name="Producto 4" sheetId="13" r:id="rId13"/>
    <sheet name="Comportamiento de Ventas" sheetId="14" r:id="rId14"/>
    <sheet name="Comportamiento de Compras" sheetId="15" r:id="rId15"/>
    <sheet name="Costos del Proyecto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EOFjJsp4S5zvstmptaytmXKzeDv3p5WGsbiu11ds4ks="/>
    </ext>
  </extLst>
</workbook>
</file>

<file path=xl/calcChain.xml><?xml version="1.0" encoding="utf-8"?>
<calcChain xmlns="http://schemas.openxmlformats.org/spreadsheetml/2006/main">
  <c r="C26" i="15" l="1"/>
  <c r="D23" i="15" s="1"/>
  <c r="D24" i="15"/>
  <c r="D16" i="15"/>
  <c r="I6" i="15"/>
  <c r="H6" i="15"/>
  <c r="I5" i="15"/>
  <c r="H5" i="15"/>
  <c r="H4" i="15"/>
  <c r="B4" i="15"/>
  <c r="H3" i="15"/>
  <c r="C26" i="14"/>
  <c r="D25" i="14" s="1"/>
  <c r="D24" i="14"/>
  <c r="D23" i="14"/>
  <c r="D20" i="14"/>
  <c r="D19" i="14"/>
  <c r="D16" i="14"/>
  <c r="D15" i="14"/>
  <c r="C4" i="14"/>
  <c r="C9" i="14" s="1"/>
  <c r="B4" i="14"/>
  <c r="F46" i="13"/>
  <c r="D46" i="13"/>
  <c r="F28" i="13"/>
  <c r="D28" i="13"/>
  <c r="F16" i="13"/>
  <c r="F15" i="13"/>
  <c r="H10" i="13"/>
  <c r="G10" i="13"/>
  <c r="F10" i="13"/>
  <c r="E10" i="13"/>
  <c r="D10" i="13"/>
  <c r="C10" i="13"/>
  <c r="F46" i="12"/>
  <c r="D46" i="12"/>
  <c r="D28" i="12"/>
  <c r="F16" i="12"/>
  <c r="F15" i="12"/>
  <c r="F28" i="12" s="1"/>
  <c r="H10" i="12"/>
  <c r="G10" i="12"/>
  <c r="F10" i="12"/>
  <c r="E10" i="12"/>
  <c r="D10" i="12"/>
  <c r="C10" i="12"/>
  <c r="F46" i="11"/>
  <c r="D46" i="11"/>
  <c r="D28" i="11"/>
  <c r="F16" i="11"/>
  <c r="F28" i="11" s="1"/>
  <c r="F15" i="11"/>
  <c r="H10" i="11"/>
  <c r="G10" i="11"/>
  <c r="F10" i="11"/>
  <c r="E10" i="11"/>
  <c r="D10" i="11"/>
  <c r="C10" i="11"/>
  <c r="I4" i="15" s="1"/>
  <c r="F46" i="10"/>
  <c r="D46" i="10"/>
  <c r="D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C2" i="10"/>
  <c r="C22" i="9"/>
  <c r="C21" i="9"/>
  <c r="C20" i="9"/>
  <c r="D16" i="9"/>
  <c r="D11" i="16" s="1"/>
  <c r="F15" i="9"/>
  <c r="E15" i="9"/>
  <c r="E14" i="9"/>
  <c r="F14" i="9" s="1"/>
  <c r="E13" i="9"/>
  <c r="F13" i="9" s="1"/>
  <c r="F12" i="9"/>
  <c r="E12" i="9"/>
  <c r="F11" i="9"/>
  <c r="E11" i="9"/>
  <c r="E10" i="9"/>
  <c r="F10" i="9" s="1"/>
  <c r="E9" i="9"/>
  <c r="F9" i="9" s="1"/>
  <c r="F8" i="9"/>
  <c r="E8" i="9"/>
  <c r="F7" i="9"/>
  <c r="D22" i="9" s="1"/>
  <c r="E22" i="9" s="1"/>
  <c r="F22" i="9" s="1"/>
  <c r="G22" i="9" s="1"/>
  <c r="H22" i="9" s="1"/>
  <c r="E7" i="9"/>
  <c r="E6" i="9"/>
  <c r="F6" i="9" s="1"/>
  <c r="D21" i="9" s="1"/>
  <c r="E21" i="9" s="1"/>
  <c r="F21" i="9" s="1"/>
  <c r="G21" i="9" s="1"/>
  <c r="H21" i="9" s="1"/>
  <c r="F5" i="9"/>
  <c r="D20" i="9" s="1"/>
  <c r="E5" i="9"/>
  <c r="F26" i="8"/>
  <c r="G26" i="8" s="1"/>
  <c r="H26" i="8" s="1"/>
  <c r="C26" i="8"/>
  <c r="D25" i="8"/>
  <c r="E25" i="8" s="1"/>
  <c r="F25" i="8" s="1"/>
  <c r="G25" i="8" s="1"/>
  <c r="H25" i="8" s="1"/>
  <c r="C25" i="8"/>
  <c r="C24" i="8"/>
  <c r="C23" i="8"/>
  <c r="C22" i="8"/>
  <c r="D21" i="8"/>
  <c r="E21" i="8" s="1"/>
  <c r="F21" i="8" s="1"/>
  <c r="G21" i="8" s="1"/>
  <c r="H21" i="8" s="1"/>
  <c r="C21" i="8"/>
  <c r="C20" i="8"/>
  <c r="D16" i="8"/>
  <c r="D10" i="16" s="1"/>
  <c r="F15" i="8"/>
  <c r="E15" i="8"/>
  <c r="E14" i="8"/>
  <c r="F14" i="8" s="1"/>
  <c r="E13" i="8"/>
  <c r="F13" i="8" s="1"/>
  <c r="F12" i="8"/>
  <c r="E12" i="8"/>
  <c r="F11" i="8"/>
  <c r="D26" i="8" s="1"/>
  <c r="E26" i="8" s="1"/>
  <c r="E11" i="8"/>
  <c r="E10" i="8"/>
  <c r="F10" i="8" s="1"/>
  <c r="E9" i="8"/>
  <c r="F9" i="8" s="1"/>
  <c r="D24" i="8" s="1"/>
  <c r="E24" i="8" s="1"/>
  <c r="F24" i="8" s="1"/>
  <c r="G24" i="8" s="1"/>
  <c r="H24" i="8" s="1"/>
  <c r="F8" i="8"/>
  <c r="D23" i="8" s="1"/>
  <c r="E23" i="8" s="1"/>
  <c r="F23" i="8" s="1"/>
  <c r="G23" i="8" s="1"/>
  <c r="H23" i="8" s="1"/>
  <c r="E8" i="8"/>
  <c r="F7" i="8"/>
  <c r="D22" i="8" s="1"/>
  <c r="E22" i="8" s="1"/>
  <c r="F22" i="8" s="1"/>
  <c r="G22" i="8" s="1"/>
  <c r="H22" i="8" s="1"/>
  <c r="E7" i="8"/>
  <c r="E6" i="8"/>
  <c r="F6" i="8" s="1"/>
  <c r="E5" i="8"/>
  <c r="F5" i="8" s="1"/>
  <c r="N36" i="7"/>
  <c r="M36" i="7"/>
  <c r="Q35" i="7"/>
  <c r="P35" i="7"/>
  <c r="O35" i="7"/>
  <c r="N35" i="7"/>
  <c r="M35" i="7"/>
  <c r="L34" i="7"/>
  <c r="L33" i="7"/>
  <c r="L32" i="7"/>
  <c r="J32" i="7"/>
  <c r="I32" i="7"/>
  <c r="H32" i="7"/>
  <c r="L31" i="7"/>
  <c r="O30" i="7"/>
  <c r="P30" i="7" s="1"/>
  <c r="Q30" i="7" s="1"/>
  <c r="L30" i="7"/>
  <c r="L29" i="7"/>
  <c r="J29" i="7"/>
  <c r="E29" i="7"/>
  <c r="C29" i="7"/>
  <c r="M32" i="7" s="1"/>
  <c r="N32" i="7" s="1"/>
  <c r="O32" i="7" s="1"/>
  <c r="P32" i="7" s="1"/>
  <c r="Q32" i="7" s="1"/>
  <c r="L28" i="7"/>
  <c r="I28" i="7"/>
  <c r="H28" i="7"/>
  <c r="G28" i="7"/>
  <c r="E28" i="7"/>
  <c r="L27" i="7"/>
  <c r="E27" i="7"/>
  <c r="C27" i="7"/>
  <c r="M30" i="7" s="1"/>
  <c r="N30" i="7" s="1"/>
  <c r="L26" i="7"/>
  <c r="E26" i="7"/>
  <c r="C22" i="7"/>
  <c r="M27" i="7" s="1"/>
  <c r="N27" i="7" s="1"/>
  <c r="O27" i="7" s="1"/>
  <c r="P27" i="7" s="1"/>
  <c r="Q27" i="7" s="1"/>
  <c r="K17" i="7"/>
  <c r="H17" i="7"/>
  <c r="C17" i="7"/>
  <c r="C35" i="7" s="1"/>
  <c r="M34" i="7" s="1"/>
  <c r="N34" i="7" s="1"/>
  <c r="O34" i="7" s="1"/>
  <c r="P34" i="7" s="1"/>
  <c r="Q34" i="7" s="1"/>
  <c r="M16" i="7"/>
  <c r="I16" i="7"/>
  <c r="H16" i="7"/>
  <c r="J16" i="7" s="1"/>
  <c r="F16" i="7"/>
  <c r="G16" i="7" s="1"/>
  <c r="E16" i="7"/>
  <c r="L16" i="7" s="1"/>
  <c r="M15" i="7"/>
  <c r="F36" i="7" s="1"/>
  <c r="I15" i="7"/>
  <c r="J15" i="7" s="1"/>
  <c r="H15" i="7"/>
  <c r="F15" i="7"/>
  <c r="E15" i="7"/>
  <c r="L15" i="7" s="1"/>
  <c r="M14" i="7"/>
  <c r="F35" i="7" s="1"/>
  <c r="I14" i="7"/>
  <c r="J14" i="7" s="1"/>
  <c r="H14" i="7"/>
  <c r="F14" i="7"/>
  <c r="E14" i="7"/>
  <c r="L14" i="7" s="1"/>
  <c r="M13" i="7"/>
  <c r="F34" i="7" s="1"/>
  <c r="J34" i="7" s="1"/>
  <c r="I13" i="7"/>
  <c r="J13" i="7" s="1"/>
  <c r="H13" i="7"/>
  <c r="F13" i="7"/>
  <c r="E13" i="7"/>
  <c r="L13" i="7" s="1"/>
  <c r="M12" i="7"/>
  <c r="F33" i="7" s="1"/>
  <c r="I12" i="7"/>
  <c r="J12" i="7" s="1"/>
  <c r="H12" i="7"/>
  <c r="F12" i="7"/>
  <c r="G12" i="7" s="1"/>
  <c r="E12" i="7"/>
  <c r="L12" i="7" s="1"/>
  <c r="M11" i="7"/>
  <c r="F32" i="7" s="1"/>
  <c r="G32" i="7" s="1"/>
  <c r="I11" i="7"/>
  <c r="J11" i="7" s="1"/>
  <c r="H11" i="7"/>
  <c r="F11" i="7"/>
  <c r="E11" i="7"/>
  <c r="L11" i="7" s="1"/>
  <c r="M10" i="7"/>
  <c r="F31" i="7" s="1"/>
  <c r="I10" i="7"/>
  <c r="J10" i="7" s="1"/>
  <c r="H10" i="7"/>
  <c r="F10" i="7"/>
  <c r="E10" i="7"/>
  <c r="L10" i="7" s="1"/>
  <c r="M9" i="7"/>
  <c r="F30" i="7" s="1"/>
  <c r="I9" i="7"/>
  <c r="J9" i="7" s="1"/>
  <c r="H9" i="7"/>
  <c r="F9" i="7"/>
  <c r="E9" i="7"/>
  <c r="L9" i="7" s="1"/>
  <c r="M8" i="7"/>
  <c r="F29" i="7" s="1"/>
  <c r="I8" i="7"/>
  <c r="J8" i="7" s="1"/>
  <c r="H8" i="7"/>
  <c r="F8" i="7"/>
  <c r="G8" i="7" s="1"/>
  <c r="E8" i="7"/>
  <c r="L8" i="7" s="1"/>
  <c r="M7" i="7"/>
  <c r="F28" i="7" s="1"/>
  <c r="J28" i="7" s="1"/>
  <c r="I7" i="7"/>
  <c r="J7" i="7" s="1"/>
  <c r="H7" i="7"/>
  <c r="F7" i="7"/>
  <c r="E7" i="7"/>
  <c r="L7" i="7" s="1"/>
  <c r="L17" i="7" s="1"/>
  <c r="M6" i="7"/>
  <c r="F27" i="7" s="1"/>
  <c r="G27" i="7" s="1"/>
  <c r="H27" i="7" s="1"/>
  <c r="I27" i="7" s="1"/>
  <c r="J27" i="7" s="1"/>
  <c r="I6" i="7"/>
  <c r="J6" i="7" s="1"/>
  <c r="H6" i="7"/>
  <c r="F6" i="7"/>
  <c r="E6" i="7"/>
  <c r="L6" i="7" s="1"/>
  <c r="M5" i="7"/>
  <c r="F26" i="7" s="1"/>
  <c r="I5" i="7"/>
  <c r="I17" i="7" s="1"/>
  <c r="H5" i="7"/>
  <c r="F5" i="7"/>
  <c r="F17" i="7" s="1"/>
  <c r="E5" i="7"/>
  <c r="L5" i="7" s="1"/>
  <c r="F51" i="6"/>
  <c r="F50" i="6"/>
  <c r="F49" i="6"/>
  <c r="F48" i="6"/>
  <c r="F47" i="6"/>
  <c r="F46" i="6"/>
  <c r="F45" i="6"/>
  <c r="F44" i="6"/>
  <c r="F52" i="6" s="1"/>
  <c r="I7" i="6" s="1"/>
  <c r="L7" i="6" s="1"/>
  <c r="F43" i="6"/>
  <c r="F42" i="6"/>
  <c r="F41" i="6"/>
  <c r="F40" i="6"/>
  <c r="F34" i="6"/>
  <c r="F33" i="6"/>
  <c r="F32" i="6"/>
  <c r="F31" i="6"/>
  <c r="F30" i="6"/>
  <c r="F29" i="6"/>
  <c r="F28" i="6"/>
  <c r="F27" i="6"/>
  <c r="F26" i="6"/>
  <c r="F25" i="6"/>
  <c r="F24" i="6"/>
  <c r="F35" i="6" s="1"/>
  <c r="I6" i="6" s="1"/>
  <c r="L6" i="6" s="1"/>
  <c r="F23" i="6"/>
  <c r="F17" i="6"/>
  <c r="F16" i="6"/>
  <c r="F15" i="6"/>
  <c r="F14" i="6"/>
  <c r="F8" i="6"/>
  <c r="F7" i="6"/>
  <c r="F6" i="6"/>
  <c r="F5" i="6"/>
  <c r="F9" i="6" s="1"/>
  <c r="I4" i="6" s="1"/>
  <c r="D21" i="5"/>
  <c r="E20" i="5"/>
  <c r="E19" i="5"/>
  <c r="E18" i="5"/>
  <c r="E17" i="5"/>
  <c r="E16" i="5"/>
  <c r="D11" i="5"/>
  <c r="E10" i="5"/>
  <c r="E9" i="5"/>
  <c r="E8" i="5"/>
  <c r="E7" i="5"/>
  <c r="E6" i="5"/>
  <c r="E11" i="5" s="1"/>
  <c r="C27" i="4"/>
  <c r="C26" i="4"/>
  <c r="C25" i="4"/>
  <c r="C17" i="4"/>
  <c r="C11" i="4"/>
  <c r="D9" i="3"/>
  <c r="F9" i="3" s="1"/>
  <c r="C9" i="3"/>
  <c r="F8" i="3"/>
  <c r="D8" i="3"/>
  <c r="C8" i="3"/>
  <c r="D7" i="3"/>
  <c r="F7" i="3" s="1"/>
  <c r="C7" i="3"/>
  <c r="F6" i="3"/>
  <c r="F9" i="14" s="1"/>
  <c r="C6" i="3"/>
  <c r="G12" i="2"/>
  <c r="E12" i="2"/>
  <c r="D12" i="2"/>
  <c r="G8" i="2"/>
  <c r="C4" i="15" s="1"/>
  <c r="C9" i="15" s="1"/>
  <c r="C8" i="2"/>
  <c r="C12" i="2" s="1"/>
  <c r="C12" i="1"/>
  <c r="J5" i="1" s="1"/>
  <c r="J6" i="1"/>
  <c r="C18" i="1" l="1"/>
  <c r="Q7" i="6"/>
  <c r="P7" i="6"/>
  <c r="O7" i="6"/>
  <c r="N7" i="6"/>
  <c r="R7" i="6"/>
  <c r="J30" i="7"/>
  <c r="I30" i="7"/>
  <c r="G30" i="7"/>
  <c r="H30" i="7"/>
  <c r="Q6" i="6"/>
  <c r="P6" i="6"/>
  <c r="O6" i="6"/>
  <c r="N6" i="6"/>
  <c r="R6" i="6"/>
  <c r="J35" i="7"/>
  <c r="I35" i="7"/>
  <c r="H35" i="7"/>
  <c r="G35" i="7"/>
  <c r="D31" i="9"/>
  <c r="E20" i="9"/>
  <c r="D20" i="8"/>
  <c r="F16" i="8"/>
  <c r="J33" i="7"/>
  <c r="I33" i="7"/>
  <c r="H33" i="7"/>
  <c r="G33" i="7"/>
  <c r="J31" i="7"/>
  <c r="I31" i="7"/>
  <c r="H31" i="7"/>
  <c r="G31" i="7"/>
  <c r="G15" i="7"/>
  <c r="M17" i="7"/>
  <c r="F16" i="9"/>
  <c r="F8" i="2"/>
  <c r="F12" i="2" s="1"/>
  <c r="I29" i="7"/>
  <c r="H29" i="7"/>
  <c r="G29" i="7"/>
  <c r="D22" i="15"/>
  <c r="D18" i="15"/>
  <c r="D14" i="15"/>
  <c r="D25" i="15"/>
  <c r="D21" i="15"/>
  <c r="D17" i="15"/>
  <c r="C33" i="7"/>
  <c r="I36" i="7"/>
  <c r="H36" i="7"/>
  <c r="G36" i="7"/>
  <c r="E17" i="7"/>
  <c r="J36" i="7"/>
  <c r="F37" i="7"/>
  <c r="G26" i="7"/>
  <c r="H34" i="7"/>
  <c r="G34" i="7"/>
  <c r="G7" i="7"/>
  <c r="G11" i="7"/>
  <c r="I34" i="7"/>
  <c r="E16" i="8"/>
  <c r="G6" i="7"/>
  <c r="G10" i="7"/>
  <c r="G14" i="7"/>
  <c r="C28" i="7"/>
  <c r="M31" i="7" s="1"/>
  <c r="N31" i="7" s="1"/>
  <c r="O31" i="7" s="1"/>
  <c r="P31" i="7" s="1"/>
  <c r="Q31" i="7" s="1"/>
  <c r="E21" i="7"/>
  <c r="C26" i="7"/>
  <c r="C21" i="7"/>
  <c r="C23" i="7"/>
  <c r="M28" i="7" s="1"/>
  <c r="N28" i="7" s="1"/>
  <c r="O28" i="7" s="1"/>
  <c r="P28" i="7" s="1"/>
  <c r="Q28" i="7" s="1"/>
  <c r="E21" i="5"/>
  <c r="D6" i="16" s="1"/>
  <c r="F18" i="6"/>
  <c r="I5" i="6" s="1"/>
  <c r="L5" i="6" s="1"/>
  <c r="G5" i="7"/>
  <c r="G9" i="7"/>
  <c r="G13" i="7"/>
  <c r="Q36" i="7"/>
  <c r="O36" i="7"/>
  <c r="P36" i="7"/>
  <c r="E16" i="9"/>
  <c r="F28" i="10"/>
  <c r="C6" i="10" s="1"/>
  <c r="D22" i="14"/>
  <c r="D18" i="14"/>
  <c r="D14" i="14"/>
  <c r="D26" i="14" s="1"/>
  <c r="D17" i="14"/>
  <c r="D20" i="15"/>
  <c r="D8" i="16"/>
  <c r="D21" i="14"/>
  <c r="J5" i="7"/>
  <c r="J17" i="7" s="1"/>
  <c r="D15" i="15"/>
  <c r="D19" i="15"/>
  <c r="E22" i="14" l="1"/>
  <c r="E18" i="14"/>
  <c r="E14" i="14"/>
  <c r="E25" i="14"/>
  <c r="E21" i="14"/>
  <c r="E17" i="14"/>
  <c r="E24" i="14"/>
  <c r="E20" i="14"/>
  <c r="E16" i="14"/>
  <c r="E23" i="14"/>
  <c r="E19" i="14"/>
  <c r="E15" i="14"/>
  <c r="G17" i="7"/>
  <c r="H21" i="7"/>
  <c r="M33" i="7"/>
  <c r="N33" i="7" s="1"/>
  <c r="O33" i="7" s="1"/>
  <c r="P33" i="7" s="1"/>
  <c r="Q33" i="7" s="1"/>
  <c r="E31" i="9"/>
  <c r="F20" i="9"/>
  <c r="I8" i="6"/>
  <c r="D7" i="16" s="1"/>
  <c r="Q5" i="6"/>
  <c r="Q8" i="6" s="1"/>
  <c r="P5" i="6"/>
  <c r="P8" i="6" s="1"/>
  <c r="O5" i="6"/>
  <c r="O8" i="6" s="1"/>
  <c r="N5" i="6"/>
  <c r="N8" i="6" s="1"/>
  <c r="R5" i="6"/>
  <c r="R8" i="6" s="1"/>
  <c r="L8" i="6"/>
  <c r="M26" i="7"/>
  <c r="C24" i="7"/>
  <c r="D26" i="15"/>
  <c r="D31" i="8"/>
  <c r="E20" i="8"/>
  <c r="C10" i="10"/>
  <c r="I3" i="15" s="1"/>
  <c r="F9" i="15" s="1"/>
  <c r="D12" i="16" s="1"/>
  <c r="D6" i="10"/>
  <c r="G37" i="7"/>
  <c r="H26" i="7"/>
  <c r="C30" i="7"/>
  <c r="G21" i="7" s="1"/>
  <c r="M29" i="7"/>
  <c r="N29" i="7" s="1"/>
  <c r="O29" i="7" s="1"/>
  <c r="P29" i="7" s="1"/>
  <c r="Q29" i="7" s="1"/>
  <c r="E22" i="15" l="1"/>
  <c r="E18" i="15"/>
  <c r="E14" i="15"/>
  <c r="E25" i="15"/>
  <c r="E21" i="15"/>
  <c r="E17" i="15"/>
  <c r="E24" i="15"/>
  <c r="E23" i="15"/>
  <c r="E19" i="15"/>
  <c r="E16" i="15"/>
  <c r="E15" i="15"/>
  <c r="E20" i="15"/>
  <c r="E26" i="14"/>
  <c r="F21" i="7"/>
  <c r="C36" i="7"/>
  <c r="D9" i="16" s="1"/>
  <c r="D13" i="16" s="1"/>
  <c r="E6" i="10"/>
  <c r="D10" i="10"/>
  <c r="E31" i="8"/>
  <c r="F20" i="8"/>
  <c r="H37" i="7"/>
  <c r="I26" i="7"/>
  <c r="N26" i="7"/>
  <c r="M37" i="7"/>
  <c r="F31" i="9"/>
  <c r="G20" i="9"/>
  <c r="F6" i="10" l="1"/>
  <c r="E10" i="10"/>
  <c r="O26" i="7"/>
  <c r="N37" i="7"/>
  <c r="J26" i="7"/>
  <c r="J37" i="7" s="1"/>
  <c r="I37" i="7"/>
  <c r="F31" i="8"/>
  <c r="G20" i="8"/>
  <c r="E26" i="15"/>
  <c r="G31" i="9"/>
  <c r="H20" i="9"/>
  <c r="H31" i="9" s="1"/>
  <c r="G31" i="8" l="1"/>
  <c r="H20" i="8"/>
  <c r="H31" i="8" s="1"/>
  <c r="P26" i="7"/>
  <c r="O37" i="7"/>
  <c r="G6" i="10"/>
  <c r="F10" i="10"/>
  <c r="H6" i="10" l="1"/>
  <c r="H10" i="10" s="1"/>
  <c r="G10" i="10"/>
  <c r="Q26" i="7"/>
  <c r="Q37" i="7" s="1"/>
  <c r="P3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9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ID#AAAB3k6vjxI
Julian Andres    (2026-03-20 15:17:35)
Tasa de Interes Financiera</t>
        </r>
      </text>
    </comment>
    <comment ref="C20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ID#AAAB3k6vjxM
Julian Andres    (2026-03-20 15:17:35)
Indice de Precio al Consumo</t>
        </r>
      </text>
    </comment>
    <comment ref="C21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ID#AAAB3k6vjxU
Julian Andres    (2026-03-20 15:17:35)
Indice del Precio al Productor</t>
        </r>
      </text>
    </comment>
    <comment ref="C22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ID#AAAB3k6vjxQ
Julian Andres    (2026-03-20 15:17:35)
Producto Interno Bruto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tVXbhNVzxY/iRROugE0hvKghQQ=="/>
    </ext>
  </extLst>
</comments>
</file>

<file path=xl/sharedStrings.xml><?xml version="1.0" encoding="utf-8"?>
<sst xmlns="http://schemas.openxmlformats.org/spreadsheetml/2006/main" count="415" uniqueCount="159">
  <si>
    <t>Analisis de Mercado</t>
  </si>
  <si>
    <t>Observación</t>
  </si>
  <si>
    <t>Mercado Potencial</t>
  </si>
  <si>
    <t>instituciones publicas y privadas</t>
  </si>
  <si>
    <t>Mercado Objetivo</t>
  </si>
  <si>
    <t>Nicho</t>
  </si>
  <si>
    <t>Calculo de la Muestra</t>
  </si>
  <si>
    <t>Tamaño de Población</t>
  </si>
  <si>
    <t>Nivel de Confianza</t>
  </si>
  <si>
    <t>Probabilidad de Ejecucion</t>
  </si>
  <si>
    <t>Error</t>
  </si>
  <si>
    <t>Probabilidad de No Ejecucion</t>
  </si>
  <si>
    <t>Margen de Error</t>
  </si>
  <si>
    <t>Tamaño de la Muestra</t>
  </si>
  <si>
    <t>Nombre de la Empresa</t>
  </si>
  <si>
    <t>Asistente</t>
  </si>
  <si>
    <t>Estructura del Mercado por Unidades</t>
  </si>
  <si>
    <t>Producto</t>
  </si>
  <si>
    <t>Clientes Potenciales</t>
  </si>
  <si>
    <t>Habitos de Consumo Cliente</t>
  </si>
  <si>
    <t>Ventas Mensuales</t>
  </si>
  <si>
    <t>Participacion en el Mercado</t>
  </si>
  <si>
    <t>Ventas Anuales</t>
  </si>
  <si>
    <t>Asistnte</t>
  </si>
  <si>
    <t>Totales</t>
  </si>
  <si>
    <t>Ventas Anules por Producto</t>
  </si>
  <si>
    <t>Unidades a Vender en el Año</t>
  </si>
  <si>
    <t>Precio Unitario</t>
  </si>
  <si>
    <t>Ventas Totales año 1</t>
  </si>
  <si>
    <t>Datos Economicos</t>
  </si>
  <si>
    <t>Indicadores</t>
  </si>
  <si>
    <t>Año 1</t>
  </si>
  <si>
    <t>Año 2</t>
  </si>
  <si>
    <t>Año 3</t>
  </si>
  <si>
    <t>Año 4</t>
  </si>
  <si>
    <t>Año 5</t>
  </si>
  <si>
    <t>Inflación</t>
  </si>
  <si>
    <t>D.T.F</t>
  </si>
  <si>
    <t>I.P.C</t>
  </si>
  <si>
    <t>I.P.P</t>
  </si>
  <si>
    <t>P.I.B</t>
  </si>
  <si>
    <t>Nomina</t>
  </si>
  <si>
    <t>Salario Minimo</t>
  </si>
  <si>
    <t>Auxilio de Transporte</t>
  </si>
  <si>
    <t>Salario Minimo Integral</t>
  </si>
  <si>
    <t>Aportes Fiscales</t>
  </si>
  <si>
    <t>SENA</t>
  </si>
  <si>
    <t>ICBF</t>
  </si>
  <si>
    <t>Cajas</t>
  </si>
  <si>
    <t>Total</t>
  </si>
  <si>
    <t>Cargas Prestacionales</t>
  </si>
  <si>
    <t>Cesantias</t>
  </si>
  <si>
    <t>Intereses a las Cesantias</t>
  </si>
  <si>
    <t>Prima de Servicios</t>
  </si>
  <si>
    <t>Vacaciones</t>
  </si>
  <si>
    <t>Seguridad Social</t>
  </si>
  <si>
    <t>Salud</t>
  </si>
  <si>
    <t>Empresa</t>
  </si>
  <si>
    <t>Empleado</t>
  </si>
  <si>
    <t>Pension</t>
  </si>
  <si>
    <t>Total Empresa</t>
  </si>
  <si>
    <t>Total Empleado</t>
  </si>
  <si>
    <t>Registro Mercantil</t>
  </si>
  <si>
    <t>Concepto</t>
  </si>
  <si>
    <t>Unidad</t>
  </si>
  <si>
    <t>Valor</t>
  </si>
  <si>
    <t>Permisos y Licencias</t>
  </si>
  <si>
    <t>Activos Fijos</t>
  </si>
  <si>
    <t>Plan de Inversion</t>
  </si>
  <si>
    <t>Depreciaciones</t>
  </si>
  <si>
    <t>Descripcion</t>
  </si>
  <si>
    <t>Unidad Medida</t>
  </si>
  <si>
    <t>Cantidad</t>
  </si>
  <si>
    <t>Valor Unitario</t>
  </si>
  <si>
    <t>Valor total</t>
  </si>
  <si>
    <t>Vida Util</t>
  </si>
  <si>
    <t>Adecuaciones</t>
  </si>
  <si>
    <t>Muebles y Enseres</t>
  </si>
  <si>
    <t>Maquinaria y Equipo</t>
  </si>
  <si>
    <t>Silla Para Oficina Ergonomica</t>
  </si>
  <si>
    <t xml:space="preserve">Escritorio en L </t>
  </si>
  <si>
    <t>Computador Escritorio</t>
  </si>
  <si>
    <t>Portatil HP</t>
  </si>
  <si>
    <t>Requerimiento de Personal</t>
  </si>
  <si>
    <t>Subsidio de Transporte</t>
  </si>
  <si>
    <t>Total a Pagar</t>
  </si>
  <si>
    <t>Sueldo Total Año</t>
  </si>
  <si>
    <t>Cargo</t>
  </si>
  <si>
    <t>Sueldo Mensual</t>
  </si>
  <si>
    <t>Dias Laborados</t>
  </si>
  <si>
    <t>Director Tecnico</t>
  </si>
  <si>
    <t>Ditector Administrativo</t>
  </si>
  <si>
    <t>Programador Junior</t>
  </si>
  <si>
    <t>Primer Año</t>
  </si>
  <si>
    <t xml:space="preserve">Sueldo </t>
  </si>
  <si>
    <t>Carga Prestacional</t>
  </si>
  <si>
    <t>Gastos de Personal Anualizado</t>
  </si>
  <si>
    <t>Parafiscales</t>
  </si>
  <si>
    <t>Gastos Administrativos</t>
  </si>
  <si>
    <t>Mes 1</t>
  </si>
  <si>
    <t>Total Año</t>
  </si>
  <si>
    <t>Arrendamiento</t>
  </si>
  <si>
    <t>Servicios Publicos</t>
  </si>
  <si>
    <t>Suministros de Oficina</t>
  </si>
  <si>
    <t>Aseo e Higiene</t>
  </si>
  <si>
    <t>Telefonia</t>
  </si>
  <si>
    <t>Internet</t>
  </si>
  <si>
    <t>Gastos de Administración</t>
  </si>
  <si>
    <t>Gastos de Ventas</t>
  </si>
  <si>
    <t>Costo Unitario Total</t>
  </si>
  <si>
    <t>Costo Unitario Año Base</t>
  </si>
  <si>
    <t>Materia Prima e Insumos</t>
  </si>
  <si>
    <t>Insumos</t>
  </si>
  <si>
    <t>Materia Prima</t>
  </si>
  <si>
    <t>Unidad de Medida</t>
  </si>
  <si>
    <t>Cantidad Por unidad</t>
  </si>
  <si>
    <t>Total Costo Unitario</t>
  </si>
  <si>
    <t>MariaDb</t>
  </si>
  <si>
    <t>Xammpp</t>
  </si>
  <si>
    <t>Draw.io</t>
  </si>
  <si>
    <t>visual studio</t>
  </si>
  <si>
    <t>React</t>
  </si>
  <si>
    <t>Androdi Studio</t>
  </si>
  <si>
    <t>Sub Total</t>
  </si>
  <si>
    <t>Mano de Obra</t>
  </si>
  <si>
    <t>Unidades a Producir</t>
  </si>
  <si>
    <t>Calificación de Comportamiento</t>
  </si>
  <si>
    <t>Calificación</t>
  </si>
  <si>
    <t>Unidades en el Año</t>
  </si>
  <si>
    <t>Muy Alto</t>
  </si>
  <si>
    <t>Alto</t>
  </si>
  <si>
    <t>Normal</t>
  </si>
  <si>
    <t>Bajo</t>
  </si>
  <si>
    <t>Sin Ventas</t>
  </si>
  <si>
    <t>Meses</t>
  </si>
  <si>
    <t>Unidades</t>
  </si>
  <si>
    <t>Ventas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</si>
  <si>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</si>
  <si>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</si>
  <si>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</si>
  <si>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</si>
  <si>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</si>
  <si>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</si>
  <si>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</si>
  <si>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</si>
  <si>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</si>
  <si>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</si>
  <si>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</si>
  <si>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</si>
  <si>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Costos</t>
  </si>
  <si>
    <t>Costos Anuales</t>
  </si>
  <si>
    <t>Costo Inicial del Proyecto</t>
  </si>
  <si>
    <t>Gastos de Constitucion</t>
  </si>
  <si>
    <t>Plan de Inversión</t>
  </si>
  <si>
    <t>Gastos de Personal</t>
  </si>
  <si>
    <t>Gastos de Marketing</t>
  </si>
  <si>
    <t>Costos de Insumos</t>
  </si>
  <si>
    <t xml:space="preserve">Total </t>
  </si>
  <si>
    <t>Empresa de dotaciones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</si>
</sst>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"/>
    <numFmt numFmtId="165" formatCode="_-&quot;$&quot;\ * #,##0_-;\-&quot;$&quot;\ * #,##0_-;_-&quot;$&quot;\ * &quot;-&quot;??_-;_-@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E7E6E6"/>
        <bgColor rgb="FFE7E6E6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theme="6"/>
        <bgColor theme="6"/>
      </patternFill>
    </fill>
    <fill>
      <patternFill patternType="solid">
        <fgColor rgb="FFDADADA"/>
        <bgColor rgb="FFDADADA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/>
    <xf numFmtId="3" fontId="3" fillId="0" borderId="4" xfId="0" applyNumberFormat="1" applyFont="1" applyBorder="1"/>
    <xf numFmtId="0" fontId="3" fillId="0" borderId="5" xfId="0" applyFont="1" applyBorder="1"/>
    <xf numFmtId="3" fontId="3" fillId="0" borderId="0" xfId="0" applyNumberFormat="1" applyFont="1"/>
    <xf numFmtId="0" fontId="1" fillId="3" borderId="6" xfId="0" applyFont="1" applyFill="1" applyBorder="1"/>
    <xf numFmtId="3" fontId="3" fillId="0" borderId="6" xfId="0" applyNumberFormat="1" applyFont="1" applyBorder="1"/>
    <xf numFmtId="0" fontId="3" fillId="0" borderId="7" xfId="0" applyFont="1" applyBorder="1"/>
    <xf numFmtId="0" fontId="1" fillId="3" borderId="8" xfId="0" applyFont="1" applyFill="1" applyBorder="1"/>
    <xf numFmtId="3" fontId="3" fillId="0" borderId="8" xfId="0" applyNumberFormat="1" applyFont="1" applyBorder="1"/>
    <xf numFmtId="0" fontId="3" fillId="0" borderId="9" xfId="0" applyFont="1" applyBorder="1"/>
    <xf numFmtId="3" fontId="3" fillId="4" borderId="4" xfId="0" applyNumberFormat="1" applyFont="1" applyFill="1" applyBorder="1"/>
    <xf numFmtId="4" fontId="3" fillId="4" borderId="6" xfId="0" applyNumberFormat="1" applyFont="1" applyFill="1" applyBorder="1"/>
    <xf numFmtId="9" fontId="3" fillId="4" borderId="6" xfId="0" applyNumberFormat="1" applyFont="1" applyFill="1" applyBorder="1"/>
    <xf numFmtId="0" fontId="1" fillId="2" borderId="12" xfId="0" applyFont="1" applyFill="1" applyBorder="1" applyAlignment="1">
      <alignment horizontal="center"/>
    </xf>
    <xf numFmtId="9" fontId="3" fillId="5" borderId="4" xfId="0" applyNumberFormat="1" applyFont="1" applyFill="1" applyBorder="1"/>
    <xf numFmtId="0" fontId="3" fillId="5" borderId="4" xfId="0" applyFont="1" applyFill="1" applyBorder="1"/>
    <xf numFmtId="9" fontId="3" fillId="5" borderId="13" xfId="0" applyNumberFormat="1" applyFont="1" applyFill="1" applyBorder="1"/>
    <xf numFmtId="9" fontId="3" fillId="4" borderId="8" xfId="0" applyNumberFormat="1" applyFont="1" applyFill="1" applyBorder="1"/>
    <xf numFmtId="9" fontId="3" fillId="5" borderId="8" xfId="0" applyNumberFormat="1" applyFont="1" applyFill="1" applyBorder="1"/>
    <xf numFmtId="0" fontId="3" fillId="5" borderId="8" xfId="0" applyFont="1" applyFill="1" applyBorder="1"/>
    <xf numFmtId="9" fontId="3" fillId="5" borderId="14" xfId="0" applyNumberFormat="1" applyFont="1" applyFill="1" applyBorder="1"/>
    <xf numFmtId="0" fontId="1" fillId="2" borderId="15" xfId="0" applyFont="1" applyFill="1" applyBorder="1"/>
    <xf numFmtId="3" fontId="3" fillId="4" borderId="16" xfId="0" applyNumberFormat="1" applyFont="1" applyFill="1" applyBorder="1"/>
    <xf numFmtId="0" fontId="3" fillId="0" borderId="16" xfId="0" applyFont="1" applyBorder="1"/>
    <xf numFmtId="0" fontId="1" fillId="2" borderId="18" xfId="0" applyFont="1" applyFill="1" applyBorder="1" applyAlignment="1">
      <alignment horizontal="center"/>
    </xf>
    <xf numFmtId="0" fontId="3" fillId="0" borderId="19" xfId="0" applyFont="1" applyBorder="1"/>
    <xf numFmtId="3" fontId="3" fillId="4" borderId="20" xfId="0" applyNumberFormat="1" applyFont="1" applyFill="1" applyBorder="1"/>
    <xf numFmtId="10" fontId="1" fillId="4" borderId="20" xfId="0" applyNumberFormat="1" applyFont="1" applyFill="1" applyBorder="1"/>
    <xf numFmtId="0" fontId="1" fillId="4" borderId="21" xfId="0" applyFont="1" applyFill="1" applyBorder="1"/>
    <xf numFmtId="0" fontId="3" fillId="0" borderId="6" xfId="0" applyFont="1" applyBorder="1"/>
    <xf numFmtId="0" fontId="3" fillId="4" borderId="6" xfId="0" applyFont="1" applyFill="1" applyBorder="1"/>
    <xf numFmtId="0" fontId="3" fillId="4" borderId="22" xfId="0" applyFont="1" applyFill="1" applyBorder="1"/>
    <xf numFmtId="0" fontId="1" fillId="6" borderId="8" xfId="0" applyFont="1" applyFill="1" applyBorder="1"/>
    <xf numFmtId="3" fontId="1" fillId="6" borderId="8" xfId="0" applyNumberFormat="1" applyFont="1" applyFill="1" applyBorder="1"/>
    <xf numFmtId="9" fontId="1" fillId="6" borderId="8" xfId="0" applyNumberFormat="1" applyFont="1" applyFill="1" applyBorder="1"/>
    <xf numFmtId="3" fontId="1" fillId="6" borderId="14" xfId="0" applyNumberFormat="1" applyFont="1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4" borderId="4" xfId="0" applyFont="1" applyFill="1" applyBorder="1"/>
    <xf numFmtId="164" fontId="3" fillId="0" borderId="4" xfId="0" applyNumberFormat="1" applyFont="1" applyBorder="1"/>
    <xf numFmtId="164" fontId="1" fillId="4" borderId="4" xfId="0" applyNumberFormat="1" applyFont="1" applyFill="1" applyBorder="1"/>
    <xf numFmtId="0" fontId="1" fillId="4" borderId="6" xfId="0" applyFont="1" applyFill="1" applyBorder="1"/>
    <xf numFmtId="164" fontId="3" fillId="0" borderId="6" xfId="0" applyNumberFormat="1" applyFont="1" applyBorder="1"/>
    <xf numFmtId="164" fontId="1" fillId="4" borderId="6" xfId="0" applyNumberFormat="1" applyFont="1" applyFill="1" applyBorder="1"/>
    <xf numFmtId="0" fontId="1" fillId="4" borderId="8" xfId="0" applyFont="1" applyFill="1" applyBorder="1"/>
    <xf numFmtId="0" fontId="3" fillId="0" borderId="8" xfId="0" applyFont="1" applyBorder="1"/>
    <xf numFmtId="164" fontId="1" fillId="4" borderId="8" xfId="0" applyNumberFormat="1" applyFont="1" applyFill="1" applyBorder="1"/>
    <xf numFmtId="0" fontId="1" fillId="2" borderId="23" xfId="0" applyFont="1" applyFill="1" applyBorder="1"/>
    <xf numFmtId="0" fontId="1" fillId="7" borderId="4" xfId="0" applyFont="1" applyFill="1" applyBorder="1"/>
    <xf numFmtId="10" fontId="3" fillId="4" borderId="4" xfId="0" applyNumberFormat="1" applyFont="1" applyFill="1" applyBorder="1"/>
    <xf numFmtId="0" fontId="1" fillId="7" borderId="6" xfId="0" applyFont="1" applyFill="1" applyBorder="1"/>
    <xf numFmtId="0" fontId="1" fillId="7" borderId="8" xfId="0" applyFont="1" applyFill="1" applyBorder="1"/>
    <xf numFmtId="10" fontId="3" fillId="4" borderId="3" xfId="0" applyNumberFormat="1" applyFont="1" applyFill="1" applyBorder="1"/>
    <xf numFmtId="0" fontId="3" fillId="7" borderId="4" xfId="0" applyFont="1" applyFill="1" applyBorder="1"/>
    <xf numFmtId="0" fontId="3" fillId="7" borderId="6" xfId="0" applyFont="1" applyFill="1" applyBorder="1"/>
    <xf numFmtId="0" fontId="3" fillId="7" borderId="8" xfId="0" applyFont="1" applyFill="1" applyBorder="1"/>
    <xf numFmtId="164" fontId="3" fillId="0" borderId="8" xfId="0" applyNumberFormat="1" applyFont="1" applyBorder="1"/>
    <xf numFmtId="9" fontId="3" fillId="4" borderId="21" xfId="0" applyNumberFormat="1" applyFont="1" applyFill="1" applyBorder="1"/>
    <xf numFmtId="9" fontId="3" fillId="4" borderId="22" xfId="0" applyNumberFormat="1" applyFont="1" applyFill="1" applyBorder="1"/>
    <xf numFmtId="0" fontId="3" fillId="7" borderId="24" xfId="0" applyFont="1" applyFill="1" applyBorder="1"/>
    <xf numFmtId="9" fontId="3" fillId="4" borderId="25" xfId="0" applyNumberFormat="1" applyFont="1" applyFill="1" applyBorder="1"/>
    <xf numFmtId="9" fontId="1" fillId="2" borderId="12" xfId="0" applyNumberFormat="1" applyFont="1" applyFill="1" applyBorder="1"/>
    <xf numFmtId="10" fontId="3" fillId="4" borderId="6" xfId="0" applyNumberFormat="1" applyFont="1" applyFill="1" applyBorder="1"/>
    <xf numFmtId="10" fontId="3" fillId="4" borderId="24" xfId="0" applyNumberFormat="1" applyFont="1" applyFill="1" applyBorder="1"/>
    <xf numFmtId="10" fontId="1" fillId="2" borderId="23" xfId="0" applyNumberFormat="1" applyFont="1" applyFill="1" applyBorder="1"/>
    <xf numFmtId="10" fontId="3" fillId="4" borderId="8" xfId="0" applyNumberFormat="1" applyFont="1" applyFill="1" applyBorder="1"/>
    <xf numFmtId="0" fontId="1" fillId="2" borderId="6" xfId="0" applyFont="1" applyFill="1" applyBorder="1"/>
    <xf numFmtId="9" fontId="1" fillId="2" borderId="6" xfId="0" applyNumberFormat="1" applyFont="1" applyFill="1" applyBorder="1"/>
    <xf numFmtId="0" fontId="1" fillId="2" borderId="24" xfId="0" applyFont="1" applyFill="1" applyBorder="1"/>
    <xf numFmtId="9" fontId="1" fillId="2" borderId="24" xfId="0" applyNumberFormat="1" applyFont="1" applyFill="1" applyBorder="1"/>
    <xf numFmtId="0" fontId="1" fillId="2" borderId="3" xfId="0" applyFont="1" applyFill="1" applyBorder="1"/>
    <xf numFmtId="10" fontId="1" fillId="2" borderId="26" xfId="0" applyNumberFormat="1" applyFont="1" applyFill="1" applyBorder="1"/>
    <xf numFmtId="0" fontId="1" fillId="2" borderId="27" xfId="0" applyFont="1" applyFill="1" applyBorder="1" applyAlignment="1">
      <alignment horizontal="center" vertical="center"/>
    </xf>
    <xf numFmtId="0" fontId="3" fillId="0" borderId="4" xfId="0" applyFont="1" applyBorder="1"/>
    <xf numFmtId="164" fontId="1" fillId="4" borderId="13" xfId="0" applyNumberFormat="1" applyFont="1" applyFill="1" applyBorder="1"/>
    <xf numFmtId="164" fontId="1" fillId="4" borderId="22" xfId="0" applyNumberFormat="1" applyFont="1" applyFill="1" applyBorder="1"/>
    <xf numFmtId="0" fontId="1" fillId="2" borderId="8" xfId="0" applyFont="1" applyFill="1" applyBorder="1"/>
    <xf numFmtId="164" fontId="1" fillId="2" borderId="8" xfId="0" applyNumberFormat="1" applyFont="1" applyFill="1" applyBorder="1"/>
    <xf numFmtId="164" fontId="1" fillId="2" borderId="14" xfId="0" applyNumberFormat="1" applyFont="1" applyFill="1" applyBorder="1"/>
    <xf numFmtId="0" fontId="1" fillId="7" borderId="4" xfId="0" applyFont="1" applyFill="1" applyBorder="1" applyAlignment="1">
      <alignment horizontal="left" vertical="center"/>
    </xf>
    <xf numFmtId="164" fontId="3" fillId="4" borderId="4" xfId="0" applyNumberFormat="1" applyFont="1" applyFill="1" applyBorder="1"/>
    <xf numFmtId="0" fontId="1" fillId="2" borderId="31" xfId="0" applyFont="1" applyFill="1" applyBorder="1" applyAlignment="1">
      <alignment horizontal="center"/>
    </xf>
    <xf numFmtId="164" fontId="1" fillId="2" borderId="31" xfId="0" applyNumberFormat="1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32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64" fontId="3" fillId="0" borderId="33" xfId="0" applyNumberFormat="1" applyFont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left"/>
    </xf>
    <xf numFmtId="164" fontId="3" fillId="4" borderId="6" xfId="0" applyNumberFormat="1" applyFont="1" applyFill="1" applyBorder="1"/>
    <xf numFmtId="0" fontId="1" fillId="7" borderId="31" xfId="0" applyFont="1" applyFill="1" applyBorder="1" applyAlignment="1">
      <alignment horizontal="left"/>
    </xf>
    <xf numFmtId="164" fontId="3" fillId="4" borderId="31" xfId="0" applyNumberFormat="1" applyFont="1" applyFill="1" applyBorder="1"/>
    <xf numFmtId="0" fontId="3" fillId="4" borderId="31" xfId="0" applyFont="1" applyFill="1" applyBorder="1"/>
    <xf numFmtId="0" fontId="3" fillId="0" borderId="6" xfId="0" applyFont="1" applyBorder="1" applyAlignment="1">
      <alignment horizontal="left" vertical="center"/>
    </xf>
    <xf numFmtId="0" fontId="3" fillId="0" borderId="34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164" fontId="3" fillId="0" borderId="37" xfId="0" applyNumberFormat="1" applyFont="1" applyBorder="1" applyAlignment="1">
      <alignment horizontal="center" vertical="center"/>
    </xf>
    <xf numFmtId="0" fontId="1" fillId="7" borderId="24" xfId="0" applyFont="1" applyFill="1" applyBorder="1" applyAlignment="1">
      <alignment horizontal="left"/>
    </xf>
    <xf numFmtId="164" fontId="3" fillId="4" borderId="24" xfId="0" applyNumberFormat="1" applyFont="1" applyFill="1" applyBorder="1"/>
    <xf numFmtId="1" fontId="3" fillId="0" borderId="8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1" fillId="2" borderId="31" xfId="0" applyFont="1" applyFill="1" applyBorder="1" applyAlignment="1">
      <alignment horizontal="left"/>
    </xf>
    <xf numFmtId="164" fontId="1" fillId="2" borderId="31" xfId="0" applyNumberFormat="1" applyFont="1" applyFill="1" applyBorder="1"/>
    <xf numFmtId="0" fontId="1" fillId="2" borderId="31" xfId="0" applyFont="1" applyFill="1" applyBorder="1"/>
    <xf numFmtId="0" fontId="1" fillId="2" borderId="38" xfId="0" applyFont="1" applyFill="1" applyBorder="1"/>
    <xf numFmtId="164" fontId="1" fillId="2" borderId="3" xfId="0" applyNumberFormat="1" applyFont="1" applyFill="1" applyBorder="1"/>
    <xf numFmtId="0" fontId="3" fillId="0" borderId="19" xfId="0" applyFont="1" applyBorder="1" applyAlignment="1">
      <alignment horizontal="left" vertical="center"/>
    </xf>
    <xf numFmtId="0" fontId="3" fillId="0" borderId="39" xfId="0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4" borderId="20" xfId="0" applyNumberFormat="1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164" fontId="3" fillId="0" borderId="32" xfId="0" applyNumberFormat="1" applyFont="1" applyBorder="1"/>
    <xf numFmtId="1" fontId="3" fillId="0" borderId="4" xfId="0" applyNumberFormat="1" applyFont="1" applyBorder="1"/>
    <xf numFmtId="164" fontId="3" fillId="4" borderId="45" xfId="0" applyNumberFormat="1" applyFont="1" applyFill="1" applyBorder="1"/>
    <xf numFmtId="164" fontId="3" fillId="4" borderId="46" xfId="0" applyNumberFormat="1" applyFont="1" applyFill="1" applyBorder="1"/>
    <xf numFmtId="164" fontId="3" fillId="4" borderId="20" xfId="0" applyNumberFormat="1" applyFont="1" applyFill="1" applyBorder="1"/>
    <xf numFmtId="164" fontId="3" fillId="0" borderId="34" xfId="0" applyNumberFormat="1" applyFont="1" applyBorder="1"/>
    <xf numFmtId="1" fontId="3" fillId="0" borderId="6" xfId="0" applyNumberFormat="1" applyFont="1" applyBorder="1"/>
    <xf numFmtId="164" fontId="3" fillId="4" borderId="47" xfId="0" applyNumberFormat="1" applyFont="1" applyFill="1" applyBorder="1"/>
    <xf numFmtId="164" fontId="3" fillId="4" borderId="48" xfId="0" applyNumberFormat="1" applyFont="1" applyFill="1" applyBorder="1"/>
    <xf numFmtId="0" fontId="3" fillId="0" borderId="35" xfId="0" applyFont="1" applyBorder="1"/>
    <xf numFmtId="164" fontId="3" fillId="0" borderId="36" xfId="0" applyNumberFormat="1" applyFont="1" applyBorder="1"/>
    <xf numFmtId="164" fontId="3" fillId="0" borderId="35" xfId="0" applyNumberFormat="1" applyFont="1" applyBorder="1"/>
    <xf numFmtId="164" fontId="1" fillId="2" borderId="41" xfId="0" applyNumberFormat="1" applyFont="1" applyFill="1" applyBorder="1"/>
    <xf numFmtId="164" fontId="3" fillId="0" borderId="0" xfId="0" applyNumberFormat="1" applyFont="1"/>
    <xf numFmtId="164" fontId="3" fillId="4" borderId="21" xfId="0" applyNumberFormat="1" applyFont="1" applyFill="1" applyBorder="1"/>
    <xf numFmtId="164" fontId="1" fillId="4" borderId="3" xfId="0" applyNumberFormat="1" applyFont="1" applyFill="1" applyBorder="1"/>
    <xf numFmtId="0" fontId="1" fillId="4" borderId="23" xfId="0" applyFont="1" applyFill="1" applyBorder="1"/>
    <xf numFmtId="164" fontId="1" fillId="4" borderId="12" xfId="0" applyNumberFormat="1" applyFont="1" applyFill="1" applyBorder="1"/>
    <xf numFmtId="0" fontId="3" fillId="7" borderId="46" xfId="0" applyFont="1" applyFill="1" applyBorder="1"/>
    <xf numFmtId="0" fontId="3" fillId="4" borderId="46" xfId="0" applyFont="1" applyFill="1" applyBorder="1"/>
    <xf numFmtId="0" fontId="3" fillId="7" borderId="48" xfId="0" applyFont="1" applyFill="1" applyBorder="1"/>
    <xf numFmtId="0" fontId="3" fillId="4" borderId="48" xfId="0" applyFont="1" applyFill="1" applyBorder="1"/>
    <xf numFmtId="0" fontId="3" fillId="7" borderId="49" xfId="0" applyFont="1" applyFill="1" applyBorder="1"/>
    <xf numFmtId="164" fontId="3" fillId="4" borderId="8" xfId="0" applyNumberFormat="1" applyFont="1" applyFill="1" applyBorder="1"/>
    <xf numFmtId="164" fontId="1" fillId="4" borderId="50" xfId="0" applyNumberFormat="1" applyFont="1" applyFill="1" applyBorder="1"/>
    <xf numFmtId="0" fontId="1" fillId="4" borderId="3" xfId="0" applyFont="1" applyFill="1" applyBorder="1"/>
    <xf numFmtId="164" fontId="1" fillId="4" borderId="26" xfId="0" applyNumberFormat="1" applyFont="1" applyFill="1" applyBorder="1"/>
    <xf numFmtId="0" fontId="3" fillId="4" borderId="49" xfId="0" applyFont="1" applyFill="1" applyBorder="1"/>
    <xf numFmtId="0" fontId="3" fillId="4" borderId="51" xfId="0" applyFont="1" applyFill="1" applyBorder="1"/>
    <xf numFmtId="164" fontId="3" fillId="4" borderId="51" xfId="0" applyNumberFormat="1" applyFont="1" applyFill="1" applyBorder="1"/>
    <xf numFmtId="164" fontId="1" fillId="2" borderId="38" xfId="0" applyNumberFormat="1" applyFont="1" applyFill="1" applyBorder="1"/>
    <xf numFmtId="164" fontId="3" fillId="4" borderId="52" xfId="0" applyNumberFormat="1" applyFont="1" applyFill="1" applyBorder="1"/>
    <xf numFmtId="0" fontId="3" fillId="4" borderId="4" xfId="0" applyFont="1" applyFill="1" applyBorder="1"/>
    <xf numFmtId="0" fontId="3" fillId="4" borderId="8" xfId="0" applyFont="1" applyFill="1" applyBorder="1"/>
    <xf numFmtId="0" fontId="1" fillId="0" borderId="0" xfId="0" applyFont="1" applyAlignment="1">
      <alignment horizontal="center"/>
    </xf>
    <xf numFmtId="0" fontId="3" fillId="4" borderId="24" xfId="0" applyFont="1" applyFill="1" applyBorder="1"/>
    <xf numFmtId="0" fontId="3" fillId="4" borderId="3" xfId="0" applyFont="1" applyFill="1" applyBorder="1"/>
    <xf numFmtId="164" fontId="3" fillId="4" borderId="3" xfId="0" applyNumberFormat="1" applyFont="1" applyFill="1" applyBorder="1"/>
    <xf numFmtId="0" fontId="1" fillId="2" borderId="23" xfId="0" applyFont="1" applyFill="1" applyBorder="1" applyAlignment="1">
      <alignment horizontal="center"/>
    </xf>
    <xf numFmtId="0" fontId="3" fillId="0" borderId="32" xfId="0" applyFont="1" applyBorder="1"/>
    <xf numFmtId="1" fontId="3" fillId="4" borderId="4" xfId="0" applyNumberFormat="1" applyFont="1" applyFill="1" applyBorder="1"/>
    <xf numFmtId="165" fontId="3" fillId="4" borderId="4" xfId="0" applyNumberFormat="1" applyFont="1" applyFill="1" applyBorder="1"/>
    <xf numFmtId="0" fontId="3" fillId="0" borderId="34" xfId="0" applyFont="1" applyBorder="1"/>
    <xf numFmtId="1" fontId="3" fillId="4" borderId="6" xfId="0" applyNumberFormat="1" applyFont="1" applyFill="1" applyBorder="1"/>
    <xf numFmtId="165" fontId="3" fillId="4" borderId="6" xfId="0" applyNumberFormat="1" applyFont="1" applyFill="1" applyBorder="1"/>
    <xf numFmtId="0" fontId="3" fillId="0" borderId="36" xfId="0" applyFont="1" applyBorder="1"/>
    <xf numFmtId="1" fontId="3" fillId="4" borderId="8" xfId="0" applyNumberFormat="1" applyFont="1" applyFill="1" applyBorder="1"/>
    <xf numFmtId="165" fontId="3" fillId="4" borderId="8" xfId="0" applyNumberFormat="1" applyFont="1" applyFill="1" applyBorder="1"/>
    <xf numFmtId="0" fontId="1" fillId="2" borderId="41" xfId="0" applyFont="1" applyFill="1" applyBorder="1"/>
    <xf numFmtId="1" fontId="1" fillId="2" borderId="38" xfId="0" applyNumberFormat="1" applyFont="1" applyFill="1" applyBorder="1"/>
    <xf numFmtId="0" fontId="3" fillId="4" borderId="4" xfId="0" applyFont="1" applyFill="1" applyBorder="1" applyAlignment="1">
      <alignment horizontal="left" vertical="center"/>
    </xf>
    <xf numFmtId="164" fontId="3" fillId="4" borderId="4" xfId="0" applyNumberFormat="1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left" vertical="center"/>
    </xf>
    <xf numFmtId="164" fontId="3" fillId="4" borderId="6" xfId="0" applyNumberFormat="1" applyFont="1" applyFill="1" applyBorder="1" applyAlignment="1">
      <alignment horizontal="right" vertical="center"/>
    </xf>
    <xf numFmtId="0" fontId="3" fillId="4" borderId="8" xfId="0" applyFont="1" applyFill="1" applyBorder="1" applyAlignment="1">
      <alignment horizontal="left" vertical="center"/>
    </xf>
    <xf numFmtId="164" fontId="3" fillId="4" borderId="8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10" xfId="0" applyFont="1" applyFill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1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2" fillId="0" borderId="29" xfId="0" applyFont="1" applyBorder="1"/>
    <xf numFmtId="0" fontId="2" fillId="0" borderId="30" xfId="0" applyFont="1" applyBorder="1"/>
    <xf numFmtId="0" fontId="2" fillId="0" borderId="40" xfId="0" applyFont="1" applyBorder="1"/>
    <xf numFmtId="0" fontId="1" fillId="2" borderId="42" xfId="0" applyFont="1" applyFill="1" applyBorder="1" applyAlignment="1">
      <alignment horizontal="center" vertical="center"/>
    </xf>
    <xf numFmtId="0" fontId="2" fillId="0" borderId="44" xfId="0" applyFont="1" applyBorder="1"/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0B77-4906-B5DB-AAEFDA1DE68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'Estructura de Mercado'!$C$7</c:f>
              <c:strCache>
                <c:ptCount val="1"/>
                <c:pt idx="0">
                  <c:v>Clientes Potenciales</c:v>
                </c:pt>
              </c:strCache>
            </c:strRef>
          </c:cat>
          <c:val>
            <c:numRef>
              <c:f>'Estructura de Mercado'!$F$7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77-4906-B5DB-AAEFDA1DE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Plan de Inversión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Activos Fijos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'Plan de Inversion'!$I$4</c:f>
              <c:numCache>
                <c:formatCode>_-"$"\ * #,##0.00_-;\-"$"\ * #,##0.00_-;_-"$"\ * "-"??_-;_-@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99-4EAD-A9A2-AB39A7559077}"/>
            </c:ext>
          </c:extLst>
        </c:ser>
        <c:ser>
          <c:idx val="1"/>
          <c:order val="1"/>
          <c:tx>
            <c:v>Adecuaciones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'Plan de Inversion'!$I$5</c:f>
              <c:numCache>
                <c:formatCode>_-"$"\ * #,##0.00_-;\-"$"\ * #,##0.00_-;_-"$"\ * "-"??_-;_-@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099-4EAD-A9A2-AB39A7559077}"/>
            </c:ext>
          </c:extLst>
        </c:ser>
        <c:ser>
          <c:idx val="2"/>
          <c:order val="2"/>
          <c:tx>
            <c:v>Muebles y Enseres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'Plan de Inversion'!$I$6</c:f>
              <c:numCache>
                <c:formatCode>_-"$"\ * #,##0.00_-;\-"$"\ * #,##0.00_-;_-"$"\ * "-"??_-;_-@</c:formatCode>
                <c:ptCount val="1"/>
                <c:pt idx="0">
                  <c:v>1520232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099-4EAD-A9A2-AB39A7559077}"/>
            </c:ext>
          </c:extLst>
        </c:ser>
        <c:ser>
          <c:idx val="3"/>
          <c:order val="3"/>
          <c:tx>
            <c:v>Maquinaria y Equipo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'Plan de Inversion'!$I$7</c:f>
              <c:numCache>
                <c:formatCode>_-"$"\ * #,##0.00_-;\-"$"\ * #,##0.00_-;_-"$"\ * "-"??_-;_-@</c:formatCode>
                <c:ptCount val="1"/>
                <c:pt idx="0">
                  <c:v>6500000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099-4EAD-A9A2-AB39A7559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6442479"/>
        <c:axId val="734370985"/>
      </c:barChart>
      <c:catAx>
        <c:axId val="1686442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34370985"/>
        <c:crosses val="autoZero"/>
        <c:auto val="1"/>
        <c:lblAlgn val="ctr"/>
        <c:lblOffset val="100"/>
        <c:noMultiLvlLbl val="1"/>
      </c:catAx>
      <c:valAx>
        <c:axId val="734370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$&quot;\ * #,##0.00_-;\-&quot;$&quot;\ * #,##0.00_-;_-&quot;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8644247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Gastos de Personal</a:t>
            </a:r>
          </a:p>
        </c:rich>
      </c:tx>
      <c:layout>
        <c:manualLayout>
          <c:xMode val="edge"/>
          <c:yMode val="edge"/>
          <c:x val="0.38190266841644793"/>
          <c:y val="5.5555555555555552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Director Tecnico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Personal'!$F$25:$J$25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'Gastos de Personal'!$F$26:$J$26</c:f>
              <c:numCache>
                <c:formatCode>_-"$"\ * #,##0.00_-;\-"$"\ * #,##0.00_-;_-"$"\ * "-"??_-;_-@</c:formatCode>
                <c:ptCount val="5"/>
                <c:pt idx="0">
                  <c:v>21600000</c:v>
                </c:pt>
                <c:pt idx="1">
                  <c:v>22356000</c:v>
                </c:pt>
                <c:pt idx="2">
                  <c:v>23138460</c:v>
                </c:pt>
                <c:pt idx="3">
                  <c:v>23994583.02</c:v>
                </c:pt>
                <c:pt idx="4">
                  <c:v>24762409.67664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83-4CAF-8190-66AA26882B8A}"/>
            </c:ext>
          </c:extLst>
        </c:ser>
        <c:ser>
          <c:idx val="1"/>
          <c:order val="1"/>
          <c:tx>
            <c:v>Ditector Administrativo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Personal'!$F$25:$J$25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'Gastos de Personal'!$F$27:$J$27</c:f>
              <c:numCache>
                <c:formatCode>_-"$"\ * #,##0.00_-;\-"$"\ * #,##0.00_-;_-"$"\ * "-"??_-;_-@</c:formatCode>
                <c:ptCount val="5"/>
                <c:pt idx="0">
                  <c:v>21600000</c:v>
                </c:pt>
                <c:pt idx="1">
                  <c:v>22356000</c:v>
                </c:pt>
                <c:pt idx="2">
                  <c:v>23138460</c:v>
                </c:pt>
                <c:pt idx="3">
                  <c:v>23948306.100000001</c:v>
                </c:pt>
                <c:pt idx="4">
                  <c:v>24786496.813500002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783-4CAF-8190-66AA26882B8A}"/>
            </c:ext>
          </c:extLst>
        </c:ser>
        <c:ser>
          <c:idx val="2"/>
          <c:order val="2"/>
          <c:tx>
            <c:v>Programador Junior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Personal'!$F$25:$J$25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'Gastos de Personal'!$F$28:$J$28</c:f>
              <c:numCache>
                <c:formatCode>_-"$"\ * #,##0.00_-;\-"$"\ * #,##0.00_-;_-"$"\ * "-"??_-;_-@</c:formatCode>
                <c:ptCount val="5"/>
                <c:pt idx="0">
                  <c:v>19200000</c:v>
                </c:pt>
                <c:pt idx="1">
                  <c:v>19891200</c:v>
                </c:pt>
                <c:pt idx="2">
                  <c:v>19852800</c:v>
                </c:pt>
                <c:pt idx="3">
                  <c:v>19814400</c:v>
                </c:pt>
                <c:pt idx="4">
                  <c:v>19814400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783-4CAF-8190-66AA26882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46386"/>
        <c:axId val="743868532"/>
      </c:barChart>
      <c:catAx>
        <c:axId val="167446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43868532"/>
        <c:crosses val="autoZero"/>
        <c:auto val="1"/>
        <c:lblAlgn val="ctr"/>
        <c:lblOffset val="100"/>
        <c:noMultiLvlLbl val="1"/>
      </c:catAx>
      <c:valAx>
        <c:axId val="743868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$&quot;\ * #,##0.00_-;\-&quot;$&quot;\ * #,##0.00_-;_-&quot;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744638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Parafiscales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Año 1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Personal'!$M$26:$M$34</c:f>
              <c:numCache>
                <c:formatCode>_-"$"\ * #,##0.00_-;\-"$"\ * #,##0.00_-;_-"$"\ * "-"??_-;_-@</c:formatCode>
                <c:ptCount val="9"/>
                <c:pt idx="0">
                  <c:v>140000</c:v>
                </c:pt>
                <c:pt idx="1">
                  <c:v>210000</c:v>
                </c:pt>
                <c:pt idx="2">
                  <c:v>280000</c:v>
                </c:pt>
                <c:pt idx="3">
                  <c:v>583100</c:v>
                </c:pt>
                <c:pt idx="4">
                  <c:v>70000</c:v>
                </c:pt>
                <c:pt idx="5">
                  <c:v>583100</c:v>
                </c:pt>
                <c:pt idx="6">
                  <c:v>291900</c:v>
                </c:pt>
                <c:pt idx="7">
                  <c:v>595000</c:v>
                </c:pt>
                <c:pt idx="8">
                  <c:v>840000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A7-45C0-9406-64FAA2A872C9}"/>
            </c:ext>
          </c:extLst>
        </c:ser>
        <c:ser>
          <c:idx val="1"/>
          <c:order val="1"/>
          <c:tx>
            <c:v>Año 2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Personal'!$N$26:$N$34</c:f>
              <c:numCache>
                <c:formatCode>_-"$"\ * #,##0.00_-;\-"$"\ * #,##0.00_-;_-"$"\ * "-"??_-;_-@</c:formatCode>
                <c:ptCount val="9"/>
                <c:pt idx="0">
                  <c:v>144900</c:v>
                </c:pt>
                <c:pt idx="1">
                  <c:v>217350</c:v>
                </c:pt>
                <c:pt idx="2">
                  <c:v>289800</c:v>
                </c:pt>
                <c:pt idx="3">
                  <c:v>603508.5</c:v>
                </c:pt>
                <c:pt idx="4">
                  <c:v>72450</c:v>
                </c:pt>
                <c:pt idx="5">
                  <c:v>603508.5</c:v>
                </c:pt>
                <c:pt idx="6">
                  <c:v>302116.5</c:v>
                </c:pt>
                <c:pt idx="7">
                  <c:v>615825</c:v>
                </c:pt>
                <c:pt idx="8">
                  <c:v>869400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6A7-45C0-9406-64FAA2A872C9}"/>
            </c:ext>
          </c:extLst>
        </c:ser>
        <c:ser>
          <c:idx val="2"/>
          <c:order val="2"/>
          <c:tx>
            <c:v>Año 3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Personal'!$O$26:$O$34</c:f>
              <c:numCache>
                <c:formatCode>_-"$"\ * #,##0.00_-;\-"$"\ * #,##0.00_-;_-"$"\ * "-"??_-;_-@</c:formatCode>
                <c:ptCount val="9"/>
                <c:pt idx="0">
                  <c:v>149971.5</c:v>
                </c:pt>
                <c:pt idx="1">
                  <c:v>224957.25</c:v>
                </c:pt>
                <c:pt idx="2">
                  <c:v>299943</c:v>
                </c:pt>
                <c:pt idx="3">
                  <c:v>624631.29749999999</c:v>
                </c:pt>
                <c:pt idx="4">
                  <c:v>74985.75</c:v>
                </c:pt>
                <c:pt idx="5">
                  <c:v>624631.29749999999</c:v>
                </c:pt>
                <c:pt idx="6">
                  <c:v>312690.57750000001</c:v>
                </c:pt>
                <c:pt idx="7">
                  <c:v>637378.875</c:v>
                </c:pt>
                <c:pt idx="8">
                  <c:v>899829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6A7-45C0-9406-64FAA2A872C9}"/>
            </c:ext>
          </c:extLst>
        </c:ser>
        <c:ser>
          <c:idx val="3"/>
          <c:order val="3"/>
          <c:tx>
            <c:v>Año 4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Personal'!$P$26:$P$34</c:f>
              <c:numCache>
                <c:formatCode>_-"$"\ * #,##0.00_-;\-"$"\ * #,##0.00_-;_-"$"\ * "-"??_-;_-@</c:formatCode>
                <c:ptCount val="9"/>
                <c:pt idx="0">
                  <c:v>155220.5025</c:v>
                </c:pt>
                <c:pt idx="1">
                  <c:v>232830.75375</c:v>
                </c:pt>
                <c:pt idx="2">
                  <c:v>310441.005</c:v>
                </c:pt>
                <c:pt idx="3">
                  <c:v>646493.39291249996</c:v>
                </c:pt>
                <c:pt idx="4">
                  <c:v>77610.251250000001</c:v>
                </c:pt>
                <c:pt idx="5">
                  <c:v>646493.39291249996</c:v>
                </c:pt>
                <c:pt idx="6">
                  <c:v>323634.74771250004</c:v>
                </c:pt>
                <c:pt idx="7">
                  <c:v>659687.135625</c:v>
                </c:pt>
                <c:pt idx="8">
                  <c:v>931323.01500000001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6A7-45C0-9406-64FAA2A872C9}"/>
            </c:ext>
          </c:extLst>
        </c:ser>
        <c:ser>
          <c:idx val="4"/>
          <c:order val="4"/>
          <c:tx>
            <c:v>Año 5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de Personal'!$L$26:$L$34</c:f>
              <c:strCache>
                <c:ptCount val="9"/>
                <c:pt idx="0">
                  <c:v>SENA</c:v>
                </c:pt>
                <c:pt idx="1">
                  <c:v>ICBF</c:v>
                </c:pt>
                <c:pt idx="2">
                  <c:v>Cajas</c:v>
                </c:pt>
                <c:pt idx="3">
                  <c:v>Cesantias</c:v>
                </c:pt>
                <c:pt idx="4">
                  <c:v>Intereses a las Cesantias</c:v>
                </c:pt>
                <c:pt idx="5">
                  <c:v>Prima de Servicios</c:v>
                </c:pt>
                <c:pt idx="6">
                  <c:v>Vacaciones</c:v>
                </c:pt>
                <c:pt idx="7">
                  <c:v>Salud</c:v>
                </c:pt>
                <c:pt idx="8">
                  <c:v>Pension</c:v>
                </c:pt>
              </c:strCache>
            </c:strRef>
          </c:cat>
          <c:val>
            <c:numRef>
              <c:f>'Gastos de Personal'!$Q$26:$Q$34</c:f>
              <c:numCache>
                <c:formatCode>_-"$"\ * #,##0.00_-;\-"$"\ * #,##0.00_-;_-"$"\ * "-"??_-;_-@</c:formatCode>
                <c:ptCount val="9"/>
                <c:pt idx="0">
                  <c:v>160653.2200875</c:v>
                </c:pt>
                <c:pt idx="1">
                  <c:v>240979.83013125</c:v>
                </c:pt>
                <c:pt idx="2">
                  <c:v>321306.440175</c:v>
                </c:pt>
                <c:pt idx="3">
                  <c:v>669120.6616644375</c:v>
                </c:pt>
                <c:pt idx="4">
                  <c:v>80326.610043749999</c:v>
                </c:pt>
                <c:pt idx="5">
                  <c:v>669120.6616644375</c:v>
                </c:pt>
                <c:pt idx="6">
                  <c:v>334961.96388243756</c:v>
                </c:pt>
                <c:pt idx="7">
                  <c:v>682776.18537187495</c:v>
                </c:pt>
                <c:pt idx="8">
                  <c:v>963919.32052499999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6A7-45C0-9406-64FAA2A87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9841388"/>
        <c:axId val="1020380485"/>
      </c:barChart>
      <c:catAx>
        <c:axId val="859841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20380485"/>
        <c:crosses val="autoZero"/>
        <c:auto val="1"/>
        <c:lblAlgn val="ctr"/>
        <c:lblOffset val="100"/>
        <c:noMultiLvlLbl val="1"/>
      </c:catAx>
      <c:valAx>
        <c:axId val="1020380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$&quot;\ * #,##0.00_-;\-&quot;$&quot;\ * #,##0.00_-;_-&quot;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85984138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Gastos Administrativos</a:t>
            </a:r>
          </a:p>
        </c:rich>
      </c:tx>
      <c:layout>
        <c:manualLayout>
          <c:xMode val="edge"/>
          <c:yMode val="edge"/>
          <c:x val="0.40026308364570962"/>
          <c:y val="5.5056935190793459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Año 1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Administrativos'!$D$20:$D$26</c:f>
              <c:numCache>
                <c:formatCode>_-"$"\ * #,##0.00_-;\-"$"\ * #,##0.00_-;_-"$"\ * "-"??_-;_-@</c:formatCode>
                <c:ptCount val="7"/>
                <c:pt idx="0">
                  <c:v>9600000</c:v>
                </c:pt>
                <c:pt idx="1">
                  <c:v>2400000</c:v>
                </c:pt>
                <c:pt idx="2">
                  <c:v>960000</c:v>
                </c:pt>
                <c:pt idx="3">
                  <c:v>600000</c:v>
                </c:pt>
                <c:pt idx="4">
                  <c:v>1080000</c:v>
                </c:pt>
                <c:pt idx="5">
                  <c:v>1440000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4B-4D2A-895C-4535ADD9D259}"/>
            </c:ext>
          </c:extLst>
        </c:ser>
        <c:ser>
          <c:idx val="1"/>
          <c:order val="1"/>
          <c:tx>
            <c:v>Año 2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Administrativos'!$E$20:$E$26</c:f>
              <c:numCache>
                <c:formatCode>_-"$"\ * #,##0.00_-;\-"$"\ * #,##0.00_-;_-"$"\ * "-"??_-;_-@</c:formatCode>
                <c:ptCount val="7"/>
                <c:pt idx="0">
                  <c:v>9936000</c:v>
                </c:pt>
                <c:pt idx="1">
                  <c:v>2484000</c:v>
                </c:pt>
                <c:pt idx="2">
                  <c:v>993600</c:v>
                </c:pt>
                <c:pt idx="3">
                  <c:v>621000</c:v>
                </c:pt>
                <c:pt idx="4">
                  <c:v>1117800</c:v>
                </c:pt>
                <c:pt idx="5">
                  <c:v>1490400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C4B-4D2A-895C-4535ADD9D259}"/>
            </c:ext>
          </c:extLst>
        </c:ser>
        <c:ser>
          <c:idx val="2"/>
          <c:order val="2"/>
          <c:tx>
            <c:v>Año 3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Administrativos'!$F$20:$F$26</c:f>
              <c:numCache>
                <c:formatCode>_-"$"\ * #,##0.00_-;\-"$"\ * #,##0.00_-;_-"$"\ * "-"??_-;_-@</c:formatCode>
                <c:ptCount val="7"/>
                <c:pt idx="0">
                  <c:v>10303632</c:v>
                </c:pt>
                <c:pt idx="1">
                  <c:v>2575908</c:v>
                </c:pt>
                <c:pt idx="2">
                  <c:v>1030363.2</c:v>
                </c:pt>
                <c:pt idx="3">
                  <c:v>643977</c:v>
                </c:pt>
                <c:pt idx="4">
                  <c:v>1159158.6000000001</c:v>
                </c:pt>
                <c:pt idx="5">
                  <c:v>1545544.8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C4B-4D2A-895C-4535ADD9D259}"/>
            </c:ext>
          </c:extLst>
        </c:ser>
        <c:ser>
          <c:idx val="3"/>
          <c:order val="3"/>
          <c:tx>
            <c:v>Año 4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Administrativos'!$G$20:$G$26</c:f>
              <c:numCache>
                <c:formatCode>_-"$"\ * #,##0.00_-;\-"$"\ * #,##0.00_-;_-"$"\ * "-"??_-;_-@</c:formatCode>
                <c:ptCount val="7"/>
                <c:pt idx="0">
                  <c:v>10633348.223999999</c:v>
                </c:pt>
                <c:pt idx="1">
                  <c:v>2658337.0559999999</c:v>
                </c:pt>
                <c:pt idx="2">
                  <c:v>1063334.8223999999</c:v>
                </c:pt>
                <c:pt idx="3">
                  <c:v>664584.26399999997</c:v>
                </c:pt>
                <c:pt idx="4">
                  <c:v>1196251.6752000002</c:v>
                </c:pt>
                <c:pt idx="5">
                  <c:v>1595002.2336000002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C4B-4D2A-895C-4535ADD9D259}"/>
            </c:ext>
          </c:extLst>
        </c:ser>
        <c:ser>
          <c:idx val="4"/>
          <c:order val="4"/>
          <c:tx>
            <c:v>Año 5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'Gastos Administrativos'!$C$20:$C$26</c:f>
              <c:strCache>
                <c:ptCount val="7"/>
                <c:pt idx="0">
                  <c:v>Arrendamiento</c:v>
                </c:pt>
                <c:pt idx="1">
                  <c:v>Servicios Publicos</c:v>
                </c:pt>
                <c:pt idx="2">
                  <c:v>Suministros de Oficina</c:v>
                </c:pt>
                <c:pt idx="3">
                  <c:v>Aseo e Higiene</c:v>
                </c:pt>
                <c:pt idx="4">
                  <c:v>Telefonia</c:v>
                </c:pt>
                <c:pt idx="5">
                  <c:v>Internet</c:v>
                </c:pt>
                <c:pt idx="6">
                  <c:v>0</c:v>
                </c:pt>
              </c:strCache>
            </c:strRef>
          </c:cat>
          <c:val>
            <c:numRef>
              <c:f>'Gastos Administrativos'!$H$20:$H$26</c:f>
              <c:numCache>
                <c:formatCode>_-"$"\ * #,##0.00_-;\-"$"\ * #,##0.00_-;_-"$"\ * "-"??_-;_-@</c:formatCode>
                <c:ptCount val="7"/>
                <c:pt idx="0">
                  <c:v>10962982.018943999</c:v>
                </c:pt>
                <c:pt idx="1">
                  <c:v>2740745.5047359997</c:v>
                </c:pt>
                <c:pt idx="2">
                  <c:v>1096298.2018943999</c:v>
                </c:pt>
                <c:pt idx="3">
                  <c:v>685186.37618399994</c:v>
                </c:pt>
                <c:pt idx="4">
                  <c:v>1233335.4771312003</c:v>
                </c:pt>
                <c:pt idx="5">
                  <c:v>1644447.3028416003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1C4B-4D2A-895C-4535ADD9D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6158949"/>
        <c:axId val="322155144"/>
      </c:barChart>
      <c:catAx>
        <c:axId val="1636158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22155144"/>
        <c:crosses val="autoZero"/>
        <c:auto val="1"/>
        <c:lblAlgn val="ctr"/>
        <c:lblOffset val="100"/>
        <c:noMultiLvlLbl val="1"/>
      </c:catAx>
      <c:valAx>
        <c:axId val="322155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$&quot;\ * #,##0.00_-;\-&quot;$&quot;\ * #,##0.00_-;_-&quot;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3615894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Gastos de Venta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Concepto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'Gastos de Marketing'!$C$20:$C$30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'Gastos de Marketing'!$D$20:$D$30</c:f>
              <c:numCache>
                <c:formatCode>_-"$"\ * #,##0.00_-;\-"$"\ * #,##0.00_-;_-"$"\ * "-"??_-;_-@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991-4E20-A4CE-E343CA74ACDE}"/>
            </c:ext>
          </c:extLst>
        </c:ser>
        <c:ser>
          <c:idx val="1"/>
          <c:order val="1"/>
          <c:tx>
            <c:v>Año 1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'Gastos de Marketing'!$C$20:$C$30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'Gastos de Marketing'!$E$20:$E$30</c:f>
              <c:numCache>
                <c:formatCode>_-"$"\ * #,##0.00_-;\-"$"\ * #,##0.00_-;_-"$"\ * "-"??_-;_-@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991-4E20-A4CE-E343CA74ACDE}"/>
            </c:ext>
          </c:extLst>
        </c:ser>
        <c:ser>
          <c:idx val="2"/>
          <c:order val="2"/>
          <c:tx>
            <c:v>Año 2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'Gastos de Marketing'!$C$20:$C$30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'Gastos de Marketing'!$F$20:$F$30</c:f>
              <c:numCache>
                <c:formatCode>_-"$"\ * #,##0.00_-;\-"$"\ * #,##0.00_-;_-"$"\ * "-"??_-;_-@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991-4E20-A4CE-E343CA74ACDE}"/>
            </c:ext>
          </c:extLst>
        </c:ser>
        <c:ser>
          <c:idx val="3"/>
          <c:order val="3"/>
          <c:tx>
            <c:v>Año 3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'Gastos de Marketing'!$C$20:$C$30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'Gastos de Marketing'!$G$20:$G$30</c:f>
              <c:numCache>
                <c:formatCode>_-"$"\ * #,##0.00_-;\-"$"\ * #,##0.00_-;_-"$"\ * "-"??_-;_-@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991-4E20-A4CE-E343CA74ACDE}"/>
            </c:ext>
          </c:extLst>
        </c:ser>
        <c:ser>
          <c:idx val="4"/>
          <c:order val="4"/>
          <c:tx>
            <c:v>Año 4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'Gastos de Marketing'!$C$20:$C$30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'Gastos de Marketing'!$H$20:$H$30</c:f>
              <c:numCache>
                <c:formatCode>_-"$"\ * #,##0.00_-;\-"$"\ * #,##0.00_-;_-"$"\ * "-"??_-;_-@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991-4E20-A4CE-E343CA74A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3489593"/>
        <c:axId val="10170205"/>
      </c:barChart>
      <c:catAx>
        <c:axId val="1253489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170205"/>
        <c:crosses val="autoZero"/>
        <c:auto val="1"/>
        <c:lblAlgn val="ctr"/>
        <c:lblOffset val="100"/>
        <c:noMultiLvlLbl val="1"/>
      </c:catAx>
      <c:valAx>
        <c:axId val="10170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$&quot;\ * #,##0.00_-;\-&quot;$&quot;\ * #,##0.00_-;_-&quot;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25348959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76200</xdr:rowOff>
    </xdr:from>
    <xdr:ext cx="10115550" cy="3095625"/>
    <xdr:graphicFrame macro="">
      <xdr:nvGraphicFramePr>
        <xdr:cNvPr id="826596704" name="Chart 1">
          <a:extLst>
            <a:ext uri="{FF2B5EF4-FFF2-40B4-BE49-F238E27FC236}">
              <a16:creationId xmlns:a16="http://schemas.microsoft.com/office/drawing/2014/main" id="{00000000-0008-0000-0100-000060DD4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695325</xdr:colOff>
      <xdr:row>9</xdr:row>
      <xdr:rowOff>180975</xdr:rowOff>
    </xdr:from>
    <xdr:ext cx="7724775" cy="3762375"/>
    <xdr:graphicFrame macro="">
      <xdr:nvGraphicFramePr>
        <xdr:cNvPr id="2124758027" name="Chart 2">
          <a:extLst>
            <a:ext uri="{FF2B5EF4-FFF2-40B4-BE49-F238E27FC236}">
              <a16:creationId xmlns:a16="http://schemas.microsoft.com/office/drawing/2014/main" id="{00000000-0008-0000-0500-00000B3CA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1247775</xdr:colOff>
      <xdr:row>38</xdr:row>
      <xdr:rowOff>28575</xdr:rowOff>
    </xdr:from>
    <xdr:ext cx="7943850" cy="4381500"/>
    <xdr:graphicFrame macro="">
      <xdr:nvGraphicFramePr>
        <xdr:cNvPr id="52125132" name="Chart 3">
          <a:extLst>
            <a:ext uri="{FF2B5EF4-FFF2-40B4-BE49-F238E27FC236}">
              <a16:creationId xmlns:a16="http://schemas.microsoft.com/office/drawing/2014/main" id="{00000000-0008-0000-0600-0000CC5D1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1524000</xdr:colOff>
      <xdr:row>37</xdr:row>
      <xdr:rowOff>161925</xdr:rowOff>
    </xdr:from>
    <xdr:ext cx="6800850" cy="4391025"/>
    <xdr:graphicFrame macro="">
      <xdr:nvGraphicFramePr>
        <xdr:cNvPr id="720903997" name="Chart 4">
          <a:extLst>
            <a:ext uri="{FF2B5EF4-FFF2-40B4-BE49-F238E27FC236}">
              <a16:creationId xmlns:a16="http://schemas.microsoft.com/office/drawing/2014/main" id="{00000000-0008-0000-0600-00003D1FF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752475</xdr:colOff>
      <xdr:row>32</xdr:row>
      <xdr:rowOff>0</xdr:rowOff>
    </xdr:from>
    <xdr:ext cx="10544175" cy="5200650"/>
    <xdr:graphicFrame macro="">
      <xdr:nvGraphicFramePr>
        <xdr:cNvPr id="1345873237" name="Chart 5">
          <a:extLst>
            <a:ext uri="{FF2B5EF4-FFF2-40B4-BE49-F238E27FC236}">
              <a16:creationId xmlns:a16="http://schemas.microsoft.com/office/drawing/2014/main" id="{00000000-0008-0000-0700-000055653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31</xdr:row>
      <xdr:rowOff>180975</xdr:rowOff>
    </xdr:from>
    <xdr:ext cx="8181975" cy="3781425"/>
    <xdr:graphicFrame macro="">
      <xdr:nvGraphicFramePr>
        <xdr:cNvPr id="1915684216" name="Chart 6">
          <a:extLst>
            <a:ext uri="{FF2B5EF4-FFF2-40B4-BE49-F238E27FC236}">
              <a16:creationId xmlns:a16="http://schemas.microsoft.com/office/drawing/2014/main" id="{00000000-0008-0000-0800-000078052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1000"/>
  <sheetViews>
    <sheetView tabSelected="1" workbookViewId="0">
      <selection activeCell="C8" sqref="C8"/>
    </sheetView>
  </sheetViews>
  <sheetFormatPr baseColWidth="10" defaultColWidth="14.44140625" defaultRowHeight="15" customHeight="1" x14ac:dyDescent="0.3"/>
  <cols>
    <col min="1" max="1" width="11.44140625" customWidth="1"/>
    <col min="2" max="2" width="27.44140625" customWidth="1"/>
    <col min="3" max="3" width="28.88671875" customWidth="1"/>
    <col min="4" max="4" width="30.5546875" customWidth="1"/>
    <col min="5" max="9" width="11.44140625" customWidth="1"/>
    <col min="10" max="10" width="12.6640625" customWidth="1"/>
    <col min="11" max="26" width="11.44140625" customWidth="1"/>
  </cols>
  <sheetData>
    <row r="4" spans="2:10" ht="14.4" x14ac:dyDescent="0.3">
      <c r="B4" s="180" t="s">
        <v>0</v>
      </c>
      <c r="C4" s="181"/>
      <c r="D4" s="1" t="s">
        <v>1</v>
      </c>
    </row>
    <row r="5" spans="2:10" ht="14.4" x14ac:dyDescent="0.3">
      <c r="B5" s="2" t="s">
        <v>2</v>
      </c>
      <c r="C5" s="3">
        <v>2242</v>
      </c>
      <c r="D5" s="4" t="s">
        <v>3</v>
      </c>
      <c r="J5" s="5">
        <f>C12*(C13*C13)*C14*C15</f>
        <v>421.875</v>
      </c>
    </row>
    <row r="6" spans="2:10" ht="14.4" x14ac:dyDescent="0.3">
      <c r="B6" s="6" t="s">
        <v>4</v>
      </c>
      <c r="C6" s="7">
        <v>1846</v>
      </c>
      <c r="D6" s="8" t="s">
        <v>158</v>
      </c>
      <c r="J6" s="5">
        <f>((C16*C16)*(C12-1))+((C13*C13)*C14*C15)</f>
        <v>14.0886</v>
      </c>
    </row>
    <row r="7" spans="2:10" ht="14.4" x14ac:dyDescent="0.3">
      <c r="B7" s="9" t="s">
        <v>5</v>
      </c>
      <c r="C7" s="10">
        <v>30</v>
      </c>
      <c r="D7" s="11" t="s">
        <v>158</v>
      </c>
    </row>
    <row r="11" spans="2:10" ht="14.4" x14ac:dyDescent="0.3">
      <c r="B11" s="182" t="s">
        <v>6</v>
      </c>
      <c r="C11" s="183"/>
    </row>
    <row r="12" spans="2:10" ht="14.4" x14ac:dyDescent="0.3">
      <c r="B12" s="2" t="s">
        <v>7</v>
      </c>
      <c r="C12" s="12">
        <f>C7</f>
        <v>30</v>
      </c>
    </row>
    <row r="13" spans="2:10" ht="14.4" x14ac:dyDescent="0.3">
      <c r="B13" s="6" t="s">
        <v>8</v>
      </c>
      <c r="C13" s="13">
        <v>7.5</v>
      </c>
    </row>
    <row r="14" spans="2:10" ht="14.4" x14ac:dyDescent="0.3">
      <c r="B14" s="6" t="s">
        <v>9</v>
      </c>
      <c r="C14" s="14">
        <v>0.5</v>
      </c>
      <c r="G14" s="180" t="s">
        <v>8</v>
      </c>
      <c r="H14" s="181"/>
      <c r="I14" s="15" t="s">
        <v>10</v>
      </c>
    </row>
    <row r="15" spans="2:10" ht="14.4" x14ac:dyDescent="0.3">
      <c r="B15" s="6" t="s">
        <v>11</v>
      </c>
      <c r="C15" s="14">
        <v>0.5</v>
      </c>
      <c r="G15" s="16">
        <v>0.95</v>
      </c>
      <c r="H15" s="17">
        <v>7.5</v>
      </c>
      <c r="I15" s="18">
        <v>0.03</v>
      </c>
    </row>
    <row r="16" spans="2:10" ht="14.4" x14ac:dyDescent="0.3">
      <c r="B16" s="9" t="s">
        <v>12</v>
      </c>
      <c r="C16" s="19">
        <v>0.03</v>
      </c>
      <c r="G16" s="20">
        <v>0.99</v>
      </c>
      <c r="H16" s="21">
        <v>9.5</v>
      </c>
      <c r="I16" s="22">
        <v>0.01</v>
      </c>
    </row>
    <row r="18" spans="2:3" ht="14.4" x14ac:dyDescent="0.3">
      <c r="B18" s="23" t="s">
        <v>13</v>
      </c>
      <c r="C18" s="24">
        <f>J5/J6</f>
        <v>29.944423150632428</v>
      </c>
    </row>
    <row r="21" spans="2:3" ht="15.75" customHeight="1" x14ac:dyDescent="0.3"/>
    <row r="22" spans="2:3" ht="15.75" customHeight="1" x14ac:dyDescent="0.3"/>
    <row r="23" spans="2:3" ht="15.75" customHeight="1" x14ac:dyDescent="0.3"/>
    <row r="24" spans="2:3" ht="15.75" customHeight="1" x14ac:dyDescent="0.3"/>
    <row r="25" spans="2:3" ht="15.75" customHeight="1" x14ac:dyDescent="0.3"/>
    <row r="26" spans="2:3" ht="15.75" customHeight="1" x14ac:dyDescent="0.3"/>
    <row r="27" spans="2:3" ht="15.75" customHeight="1" x14ac:dyDescent="0.3"/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4:C4"/>
    <mergeCell ref="B11:C11"/>
    <mergeCell ref="G14:H1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G1000"/>
  <sheetViews>
    <sheetView workbookViewId="0"/>
  </sheetViews>
  <sheetFormatPr baseColWidth="10" defaultColWidth="14.44140625" defaultRowHeight="15" customHeight="1" x14ac:dyDescent="0.3"/>
  <cols>
    <col min="1" max="1" width="11.44140625" customWidth="1"/>
    <col min="2" max="2" width="23.33203125" customWidth="1"/>
    <col min="3" max="3" width="25.5546875" customWidth="1"/>
    <col min="4" max="4" width="28.44140625" customWidth="1"/>
    <col min="5" max="5" width="26.44140625" customWidth="1"/>
    <col min="6" max="6" width="28" customWidth="1"/>
    <col min="7" max="7" width="20.44140625" customWidth="1"/>
    <col min="8" max="26" width="11.44140625" customWidth="1"/>
  </cols>
  <sheetData>
    <row r="4" spans="2:7" ht="14.4" x14ac:dyDescent="0.3">
      <c r="B4" s="23" t="s">
        <v>14</v>
      </c>
      <c r="C4" s="25" t="s">
        <v>15</v>
      </c>
    </row>
    <row r="6" spans="2:7" ht="14.4" x14ac:dyDescent="0.3">
      <c r="B6" s="180" t="s">
        <v>16</v>
      </c>
      <c r="C6" s="184"/>
      <c r="D6" s="184"/>
      <c r="E6" s="184"/>
      <c r="F6" s="184"/>
      <c r="G6" s="181"/>
    </row>
    <row r="7" spans="2:7" ht="14.4" x14ac:dyDescent="0.3"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26" t="s">
        <v>22</v>
      </c>
    </row>
    <row r="8" spans="2:7" ht="14.4" x14ac:dyDescent="0.3">
      <c r="B8" s="27" t="s">
        <v>23</v>
      </c>
      <c r="C8" s="28">
        <f>'Analisis de Mercado'!C7</f>
        <v>30</v>
      </c>
      <c r="D8" s="27">
        <v>1</v>
      </c>
      <c r="E8" s="27">
        <v>1</v>
      </c>
      <c r="F8" s="29">
        <f>G8/(C8*D8)</f>
        <v>0.4</v>
      </c>
      <c r="G8" s="30">
        <f>E8*12</f>
        <v>12</v>
      </c>
    </row>
    <row r="9" spans="2:7" ht="14.4" x14ac:dyDescent="0.3">
      <c r="B9" s="31"/>
      <c r="C9" s="32"/>
      <c r="D9" s="31"/>
      <c r="E9" s="31"/>
      <c r="F9" s="32"/>
      <c r="G9" s="33"/>
    </row>
    <row r="10" spans="2:7" ht="14.4" x14ac:dyDescent="0.3">
      <c r="B10" s="31"/>
      <c r="C10" s="32"/>
      <c r="D10" s="31"/>
      <c r="E10" s="31"/>
      <c r="F10" s="32"/>
      <c r="G10" s="33"/>
    </row>
    <row r="11" spans="2:7" ht="14.4" x14ac:dyDescent="0.3">
      <c r="B11" s="31"/>
      <c r="C11" s="32"/>
      <c r="D11" s="31"/>
      <c r="E11" s="31"/>
      <c r="F11" s="32"/>
      <c r="G11" s="33"/>
    </row>
    <row r="12" spans="2:7" ht="14.4" x14ac:dyDescent="0.3">
      <c r="B12" s="34" t="s">
        <v>24</v>
      </c>
      <c r="C12" s="35">
        <f t="shared" ref="C12:G12" si="0">SUM(C8:C11)</f>
        <v>30</v>
      </c>
      <c r="D12" s="35">
        <f t="shared" si="0"/>
        <v>1</v>
      </c>
      <c r="E12" s="35">
        <f t="shared" si="0"/>
        <v>1</v>
      </c>
      <c r="F12" s="36">
        <f t="shared" si="0"/>
        <v>0.4</v>
      </c>
      <c r="G12" s="37">
        <f t="shared" si="0"/>
        <v>12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6:G6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H1000"/>
  <sheetViews>
    <sheetView workbookViewId="0"/>
  </sheetViews>
  <sheetFormatPr baseColWidth="10" defaultColWidth="14.44140625" defaultRowHeight="15" customHeight="1" x14ac:dyDescent="0.3"/>
  <cols>
    <col min="1" max="2" width="11.44140625" customWidth="1"/>
    <col min="3" max="3" width="20.44140625" customWidth="1"/>
    <col min="4" max="4" width="21" customWidth="1"/>
    <col min="5" max="5" width="21.5546875" customWidth="1"/>
    <col min="6" max="6" width="22.6640625" customWidth="1"/>
    <col min="7" max="7" width="20.88671875" customWidth="1"/>
    <col min="8" max="8" width="19.109375" customWidth="1"/>
    <col min="9" max="26" width="11.44140625" customWidth="1"/>
  </cols>
  <sheetData>
    <row r="4" spans="3:8" ht="14.4" x14ac:dyDescent="0.3">
      <c r="C4" s="185" t="s">
        <v>25</v>
      </c>
      <c r="D4" s="184"/>
      <c r="E4" s="184"/>
      <c r="F4" s="181"/>
    </row>
    <row r="5" spans="3:8" ht="28.8" x14ac:dyDescent="0.3">
      <c r="C5" s="38" t="s">
        <v>17</v>
      </c>
      <c r="D5" s="39" t="s">
        <v>26</v>
      </c>
      <c r="E5" s="38" t="s">
        <v>27</v>
      </c>
      <c r="F5" s="40" t="s">
        <v>28</v>
      </c>
    </row>
    <row r="6" spans="3:8" ht="14.4" x14ac:dyDescent="0.3">
      <c r="C6" s="41" t="str">
        <f>'Estructura de Mercado'!B8</f>
        <v>Asistnte</v>
      </c>
      <c r="D6" s="41">
        <v>22</v>
      </c>
      <c r="E6" s="42">
        <v>2000000</v>
      </c>
      <c r="F6" s="43">
        <f t="shared" ref="F6:F9" si="0">E6*D6</f>
        <v>44000000</v>
      </c>
    </row>
    <row r="7" spans="3:8" ht="14.4" x14ac:dyDescent="0.3">
      <c r="C7" s="44">
        <f>'Estructura de Mercado'!B9</f>
        <v>0</v>
      </c>
      <c r="D7" s="44">
        <f>'Estructura de Mercado'!G9</f>
        <v>0</v>
      </c>
      <c r="E7" s="45"/>
      <c r="F7" s="46">
        <f t="shared" si="0"/>
        <v>0</v>
      </c>
    </row>
    <row r="8" spans="3:8" ht="14.4" x14ac:dyDescent="0.3">
      <c r="C8" s="44">
        <f>'Estructura de Mercado'!B10</f>
        <v>0</v>
      </c>
      <c r="D8" s="44">
        <f>'Estructura de Mercado'!G10</f>
        <v>0</v>
      </c>
      <c r="E8" s="31"/>
      <c r="F8" s="46">
        <f t="shared" si="0"/>
        <v>0</v>
      </c>
    </row>
    <row r="9" spans="3:8" ht="14.4" x14ac:dyDescent="0.3">
      <c r="C9" s="47">
        <f>'Estructura de Mercado'!B11</f>
        <v>0</v>
      </c>
      <c r="D9" s="47">
        <f>'Estructura de Mercado'!G11</f>
        <v>0</v>
      </c>
      <c r="E9" s="48"/>
      <c r="F9" s="49">
        <f t="shared" si="0"/>
        <v>0</v>
      </c>
    </row>
    <row r="16" spans="3:8" ht="14.4" x14ac:dyDescent="0.3">
      <c r="C16" s="180" t="s">
        <v>29</v>
      </c>
      <c r="D16" s="184"/>
      <c r="E16" s="184"/>
      <c r="F16" s="184"/>
      <c r="G16" s="184"/>
      <c r="H16" s="181"/>
    </row>
    <row r="17" spans="3:8" ht="14.4" x14ac:dyDescent="0.3">
      <c r="C17" s="50" t="s">
        <v>30</v>
      </c>
      <c r="D17" s="40" t="s">
        <v>31</v>
      </c>
      <c r="E17" s="40" t="s">
        <v>32</v>
      </c>
      <c r="F17" s="40" t="s">
        <v>33</v>
      </c>
      <c r="G17" s="40" t="s">
        <v>34</v>
      </c>
      <c r="H17" s="40" t="s">
        <v>35</v>
      </c>
    </row>
    <row r="18" spans="3:8" ht="14.4" x14ac:dyDescent="0.3">
      <c r="C18" s="51" t="s">
        <v>36</v>
      </c>
      <c r="D18" s="52">
        <v>3.5000000000000003E-2</v>
      </c>
      <c r="E18" s="52">
        <v>3.6999999999999998E-2</v>
      </c>
      <c r="F18" s="52">
        <v>3.1E-2</v>
      </c>
      <c r="G18" s="52">
        <v>3.6999999999999998E-2</v>
      </c>
      <c r="H18" s="52">
        <v>3.1E-2</v>
      </c>
    </row>
    <row r="19" spans="3:8" ht="14.4" x14ac:dyDescent="0.3">
      <c r="C19" s="53" t="s">
        <v>37</v>
      </c>
      <c r="D19" s="52">
        <v>2.29E-2</v>
      </c>
      <c r="E19" s="52">
        <v>3.1600000000000003E-2</v>
      </c>
      <c r="F19" s="52">
        <v>4.0500000000000001E-2</v>
      </c>
      <c r="G19" s="52">
        <v>4.6300000000000001E-2</v>
      </c>
      <c r="H19" s="52">
        <v>5.1400000000000001E-2</v>
      </c>
    </row>
    <row r="20" spans="3:8" ht="14.4" x14ac:dyDescent="0.3">
      <c r="C20" s="53" t="s">
        <v>38</v>
      </c>
      <c r="D20" s="52">
        <v>3.5000000000000003E-2</v>
      </c>
      <c r="E20" s="52">
        <v>3.5000000000000003E-2</v>
      </c>
      <c r="F20" s="52">
        <v>3.6999999999999998E-2</v>
      </c>
      <c r="G20" s="52">
        <v>3.2000000000000001E-2</v>
      </c>
      <c r="H20" s="52">
        <v>3.1E-2</v>
      </c>
    </row>
    <row r="21" spans="3:8" ht="15.75" customHeight="1" x14ac:dyDescent="0.3">
      <c r="C21" s="53" t="s">
        <v>39</v>
      </c>
      <c r="D21" s="52">
        <v>3.5000000000000003E-2</v>
      </c>
      <c r="E21" s="52">
        <v>3.5000000000000003E-2</v>
      </c>
      <c r="F21" s="52">
        <v>3.6999999999999998E-2</v>
      </c>
      <c r="G21" s="52">
        <v>3.2000000000000001E-2</v>
      </c>
      <c r="H21" s="52">
        <v>3.1E-2</v>
      </c>
    </row>
    <row r="22" spans="3:8" ht="15.75" customHeight="1" x14ac:dyDescent="0.3">
      <c r="C22" s="54" t="s">
        <v>40</v>
      </c>
      <c r="D22" s="55">
        <v>3.5999999999999997E-2</v>
      </c>
      <c r="E22" s="55">
        <v>3.4000000000000002E-2</v>
      </c>
      <c r="F22" s="55">
        <v>3.2000000000000001E-2</v>
      </c>
      <c r="G22" s="55">
        <v>3.2000000000000001E-2</v>
      </c>
      <c r="H22" s="55">
        <v>3.1E-2</v>
      </c>
    </row>
    <row r="23" spans="3:8" ht="15.75" customHeight="1" x14ac:dyDescent="0.3"/>
    <row r="24" spans="3:8" ht="15.75" customHeight="1" x14ac:dyDescent="0.3"/>
    <row r="25" spans="3:8" ht="15.75" customHeight="1" x14ac:dyDescent="0.3"/>
    <row r="26" spans="3:8" ht="15.75" customHeight="1" x14ac:dyDescent="0.3"/>
    <row r="27" spans="3:8" ht="15.75" customHeight="1" x14ac:dyDescent="0.3"/>
    <row r="28" spans="3:8" ht="15.75" customHeight="1" x14ac:dyDescent="0.3"/>
    <row r="29" spans="3:8" ht="15.75" customHeight="1" x14ac:dyDescent="0.3"/>
    <row r="30" spans="3:8" ht="15.75" customHeight="1" x14ac:dyDescent="0.3"/>
    <row r="31" spans="3:8" ht="15.75" customHeight="1" x14ac:dyDescent="0.3"/>
    <row r="32" spans="3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C4:F4"/>
    <mergeCell ref="C16:H16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C1000"/>
  <sheetViews>
    <sheetView workbookViewId="0"/>
  </sheetViews>
  <sheetFormatPr baseColWidth="10" defaultColWidth="14.44140625" defaultRowHeight="15" customHeight="1" x14ac:dyDescent="0.3"/>
  <cols>
    <col min="1" max="1" width="11.44140625" customWidth="1"/>
    <col min="2" max="2" width="23" customWidth="1"/>
    <col min="3" max="3" width="15.5546875" customWidth="1"/>
    <col min="4" max="26" width="11.44140625" customWidth="1"/>
  </cols>
  <sheetData>
    <row r="3" spans="2:3" ht="14.4" x14ac:dyDescent="0.3">
      <c r="B3" s="180" t="s">
        <v>41</v>
      </c>
      <c r="C3" s="181"/>
    </row>
    <row r="4" spans="2:3" ht="14.4" x14ac:dyDescent="0.3">
      <c r="B4" s="56" t="s">
        <v>42</v>
      </c>
      <c r="C4" s="42">
        <v>1423000</v>
      </c>
    </row>
    <row r="5" spans="2:3" ht="14.4" x14ac:dyDescent="0.3">
      <c r="B5" s="57" t="s">
        <v>43</v>
      </c>
      <c r="C5" s="45">
        <v>200000</v>
      </c>
    </row>
    <row r="6" spans="2:3" ht="14.4" x14ac:dyDescent="0.3">
      <c r="B6" s="58" t="s">
        <v>44</v>
      </c>
      <c r="C6" s="59">
        <v>18505500</v>
      </c>
    </row>
    <row r="7" spans="2:3" ht="14.4" x14ac:dyDescent="0.3">
      <c r="B7" s="180" t="s">
        <v>45</v>
      </c>
      <c r="C7" s="181"/>
    </row>
    <row r="8" spans="2:3" ht="14.4" x14ac:dyDescent="0.3">
      <c r="B8" s="56" t="s">
        <v>46</v>
      </c>
      <c r="C8" s="60">
        <v>0.02</v>
      </c>
    </row>
    <row r="9" spans="2:3" ht="14.4" x14ac:dyDescent="0.3">
      <c r="B9" s="57" t="s">
        <v>47</v>
      </c>
      <c r="C9" s="61">
        <v>0.03</v>
      </c>
    </row>
    <row r="10" spans="2:3" ht="14.4" x14ac:dyDescent="0.3">
      <c r="B10" s="62" t="s">
        <v>48</v>
      </c>
      <c r="C10" s="63">
        <v>0.04</v>
      </c>
    </row>
    <row r="11" spans="2:3" ht="14.4" x14ac:dyDescent="0.3">
      <c r="B11" s="50" t="s">
        <v>49</v>
      </c>
      <c r="C11" s="64">
        <f>SUM(C8:C10)</f>
        <v>0.09</v>
      </c>
    </row>
    <row r="12" spans="2:3" ht="14.4" x14ac:dyDescent="0.3">
      <c r="B12" s="180" t="s">
        <v>50</v>
      </c>
      <c r="C12" s="181"/>
    </row>
    <row r="13" spans="2:3" ht="14.4" x14ac:dyDescent="0.3">
      <c r="B13" s="56" t="s">
        <v>51</v>
      </c>
      <c r="C13" s="52">
        <v>8.3299999999999999E-2</v>
      </c>
    </row>
    <row r="14" spans="2:3" ht="14.4" x14ac:dyDescent="0.3">
      <c r="B14" s="57" t="s">
        <v>52</v>
      </c>
      <c r="C14" s="65">
        <v>0.01</v>
      </c>
    </row>
    <row r="15" spans="2:3" ht="14.4" x14ac:dyDescent="0.3">
      <c r="B15" s="57" t="s">
        <v>53</v>
      </c>
      <c r="C15" s="65">
        <v>8.3299999999999999E-2</v>
      </c>
    </row>
    <row r="16" spans="2:3" ht="14.4" x14ac:dyDescent="0.3">
      <c r="B16" s="62" t="s">
        <v>54</v>
      </c>
      <c r="C16" s="66">
        <v>4.1700000000000001E-2</v>
      </c>
    </row>
    <row r="17" spans="2:3" ht="14.4" x14ac:dyDescent="0.3">
      <c r="B17" s="50" t="s">
        <v>49</v>
      </c>
      <c r="C17" s="67">
        <f>SUM(C13:C16)</f>
        <v>0.21829999999999999</v>
      </c>
    </row>
    <row r="18" spans="2:3" ht="14.4" x14ac:dyDescent="0.3">
      <c r="B18" s="180" t="s">
        <v>55</v>
      </c>
      <c r="C18" s="181"/>
    </row>
    <row r="19" spans="2:3" ht="14.4" x14ac:dyDescent="0.3">
      <c r="B19" s="186" t="s">
        <v>56</v>
      </c>
      <c r="C19" s="181"/>
    </row>
    <row r="20" spans="2:3" ht="14.4" x14ac:dyDescent="0.3">
      <c r="B20" s="56" t="s">
        <v>57</v>
      </c>
      <c r="C20" s="52">
        <v>8.5000000000000006E-2</v>
      </c>
    </row>
    <row r="21" spans="2:3" ht="15.75" customHeight="1" x14ac:dyDescent="0.3">
      <c r="B21" s="58" t="s">
        <v>58</v>
      </c>
      <c r="C21" s="68">
        <v>0.04</v>
      </c>
    </row>
    <row r="22" spans="2:3" ht="15.75" customHeight="1" x14ac:dyDescent="0.3">
      <c r="B22" s="186" t="s">
        <v>59</v>
      </c>
      <c r="C22" s="181"/>
    </row>
    <row r="23" spans="2:3" ht="15.75" customHeight="1" x14ac:dyDescent="0.3">
      <c r="B23" s="56" t="s">
        <v>57</v>
      </c>
      <c r="C23" s="52">
        <v>0.12</v>
      </c>
    </row>
    <row r="24" spans="2:3" ht="15.75" customHeight="1" x14ac:dyDescent="0.3">
      <c r="B24" s="57" t="s">
        <v>58</v>
      </c>
      <c r="C24" s="65">
        <v>0.04</v>
      </c>
    </row>
    <row r="25" spans="2:3" ht="15.75" customHeight="1" x14ac:dyDescent="0.3">
      <c r="B25" s="69" t="s">
        <v>60</v>
      </c>
      <c r="C25" s="70">
        <f t="shared" ref="C25:C26" si="0">SUM(C20+C23)</f>
        <v>0.20500000000000002</v>
      </c>
    </row>
    <row r="26" spans="2:3" ht="15.75" customHeight="1" x14ac:dyDescent="0.3">
      <c r="B26" s="71" t="s">
        <v>61</v>
      </c>
      <c r="C26" s="72">
        <f t="shared" si="0"/>
        <v>0.08</v>
      </c>
    </row>
    <row r="27" spans="2:3" ht="15.75" customHeight="1" x14ac:dyDescent="0.3">
      <c r="B27" s="73" t="s">
        <v>24</v>
      </c>
      <c r="C27" s="74">
        <f>SUM(C11+C17+C25)</f>
        <v>0.51330000000000009</v>
      </c>
    </row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B22:C22"/>
    <mergeCell ref="B3:C3"/>
    <mergeCell ref="B7:C7"/>
    <mergeCell ref="B12:C12"/>
    <mergeCell ref="B18:C18"/>
    <mergeCell ref="B19:C1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E1000"/>
  <sheetViews>
    <sheetView workbookViewId="0"/>
  </sheetViews>
  <sheetFormatPr baseColWidth="10" defaultColWidth="14.44140625" defaultRowHeight="15" customHeight="1" x14ac:dyDescent="0.3"/>
  <cols>
    <col min="1" max="1" width="11.44140625" customWidth="1"/>
    <col min="2" max="2" width="37.88671875" customWidth="1"/>
    <col min="3" max="3" width="19.44140625" customWidth="1"/>
    <col min="4" max="4" width="18" customWidth="1"/>
    <col min="5" max="5" width="23.5546875" customWidth="1"/>
    <col min="6" max="26" width="11.44140625" customWidth="1"/>
  </cols>
  <sheetData>
    <row r="4" spans="2:5" ht="14.4" x14ac:dyDescent="0.3">
      <c r="B4" s="185" t="s">
        <v>62</v>
      </c>
      <c r="C4" s="184"/>
      <c r="D4" s="184"/>
      <c r="E4" s="181"/>
    </row>
    <row r="5" spans="2:5" ht="14.4" x14ac:dyDescent="0.3">
      <c r="B5" s="38" t="s">
        <v>63</v>
      </c>
      <c r="C5" s="38" t="s">
        <v>64</v>
      </c>
      <c r="D5" s="75" t="s">
        <v>65</v>
      </c>
      <c r="E5" s="38" t="s">
        <v>49</v>
      </c>
    </row>
    <row r="6" spans="2:5" ht="14.4" x14ac:dyDescent="0.3">
      <c r="B6" s="76"/>
      <c r="C6" s="76"/>
      <c r="D6" s="42"/>
      <c r="E6" s="77">
        <f t="shared" ref="E6:E10" si="0">C6*D6</f>
        <v>0</v>
      </c>
    </row>
    <row r="7" spans="2:5" ht="14.4" x14ac:dyDescent="0.3">
      <c r="B7" s="31"/>
      <c r="C7" s="31"/>
      <c r="D7" s="45"/>
      <c r="E7" s="78">
        <f t="shared" si="0"/>
        <v>0</v>
      </c>
    </row>
    <row r="8" spans="2:5" ht="14.4" x14ac:dyDescent="0.3">
      <c r="B8" s="31"/>
      <c r="C8" s="31"/>
      <c r="D8" s="45"/>
      <c r="E8" s="78">
        <f t="shared" si="0"/>
        <v>0</v>
      </c>
    </row>
    <row r="9" spans="2:5" ht="14.4" x14ac:dyDescent="0.3">
      <c r="B9" s="31"/>
      <c r="C9" s="31"/>
      <c r="D9" s="45"/>
      <c r="E9" s="78">
        <f t="shared" si="0"/>
        <v>0</v>
      </c>
    </row>
    <row r="10" spans="2:5" ht="14.4" x14ac:dyDescent="0.3">
      <c r="B10" s="31"/>
      <c r="C10" s="31"/>
      <c r="D10" s="45"/>
      <c r="E10" s="78">
        <f t="shared" si="0"/>
        <v>0</v>
      </c>
    </row>
    <row r="11" spans="2:5" ht="14.4" x14ac:dyDescent="0.3">
      <c r="B11" s="79" t="s">
        <v>49</v>
      </c>
      <c r="C11" s="79"/>
      <c r="D11" s="80">
        <f t="shared" ref="D11:E11" si="1">SUM(D6:D10)</f>
        <v>0</v>
      </c>
      <c r="E11" s="81">
        <f t="shared" si="1"/>
        <v>0</v>
      </c>
    </row>
    <row r="14" spans="2:5" ht="14.4" x14ac:dyDescent="0.3">
      <c r="B14" s="185" t="s">
        <v>66</v>
      </c>
      <c r="C14" s="184"/>
      <c r="D14" s="184"/>
      <c r="E14" s="181"/>
    </row>
    <row r="15" spans="2:5" ht="14.4" x14ac:dyDescent="0.3">
      <c r="B15" s="38" t="s">
        <v>63</v>
      </c>
      <c r="C15" s="38" t="s">
        <v>64</v>
      </c>
      <c r="D15" s="75" t="s">
        <v>65</v>
      </c>
      <c r="E15" s="38" t="s">
        <v>49</v>
      </c>
    </row>
    <row r="16" spans="2:5" ht="14.4" x14ac:dyDescent="0.3">
      <c r="B16" s="76"/>
      <c r="C16" s="76"/>
      <c r="D16" s="42"/>
      <c r="E16" s="77">
        <f t="shared" ref="E16:E20" si="2">C16*D16</f>
        <v>0</v>
      </c>
    </row>
    <row r="17" spans="2:5" ht="14.4" x14ac:dyDescent="0.3">
      <c r="B17" s="31"/>
      <c r="C17" s="31"/>
      <c r="D17" s="45"/>
      <c r="E17" s="78">
        <f t="shared" si="2"/>
        <v>0</v>
      </c>
    </row>
    <row r="18" spans="2:5" ht="14.4" x14ac:dyDescent="0.3">
      <c r="B18" s="31"/>
      <c r="C18" s="31"/>
      <c r="D18" s="45"/>
      <c r="E18" s="78">
        <f t="shared" si="2"/>
        <v>0</v>
      </c>
    </row>
    <row r="19" spans="2:5" ht="14.4" x14ac:dyDescent="0.3">
      <c r="B19" s="31"/>
      <c r="C19" s="31"/>
      <c r="D19" s="45"/>
      <c r="E19" s="78">
        <f t="shared" si="2"/>
        <v>0</v>
      </c>
    </row>
    <row r="20" spans="2:5" ht="14.4" x14ac:dyDescent="0.3">
      <c r="B20" s="31"/>
      <c r="C20" s="31"/>
      <c r="D20" s="45"/>
      <c r="E20" s="78">
        <f t="shared" si="2"/>
        <v>0</v>
      </c>
    </row>
    <row r="21" spans="2:5" ht="15.75" customHeight="1" x14ac:dyDescent="0.3">
      <c r="B21" s="79" t="s">
        <v>49</v>
      </c>
      <c r="C21" s="79"/>
      <c r="D21" s="80">
        <f t="shared" ref="D21:E21" si="3">SUM(D16:D20)</f>
        <v>0</v>
      </c>
      <c r="E21" s="81">
        <f t="shared" si="3"/>
        <v>0</v>
      </c>
    </row>
    <row r="22" spans="2:5" ht="15.75" customHeight="1" x14ac:dyDescent="0.3"/>
    <row r="23" spans="2:5" ht="15.75" customHeight="1" x14ac:dyDescent="0.3"/>
    <row r="24" spans="2:5" ht="15.75" customHeight="1" x14ac:dyDescent="0.3"/>
    <row r="25" spans="2:5" ht="15.75" customHeight="1" x14ac:dyDescent="0.3"/>
    <row r="26" spans="2:5" ht="15.75" customHeight="1" x14ac:dyDescent="0.3"/>
    <row r="27" spans="2:5" ht="15.75" customHeight="1" x14ac:dyDescent="0.3"/>
    <row r="28" spans="2:5" ht="15.75" customHeight="1" x14ac:dyDescent="0.3"/>
    <row r="29" spans="2:5" ht="15.75" customHeight="1" x14ac:dyDescent="0.3"/>
    <row r="30" spans="2:5" ht="15.75" customHeight="1" x14ac:dyDescent="0.3"/>
    <row r="31" spans="2:5" ht="15.75" customHeight="1" x14ac:dyDescent="0.3"/>
    <row r="32" spans="2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4:E4"/>
    <mergeCell ref="B14:E1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R1000"/>
  <sheetViews>
    <sheetView workbookViewId="0"/>
  </sheetViews>
  <sheetFormatPr baseColWidth="10" defaultColWidth="14.44140625" defaultRowHeight="15" customHeight="1" x14ac:dyDescent="0.3"/>
  <cols>
    <col min="1" max="1" width="11.44140625" customWidth="1"/>
    <col min="2" max="2" width="26.44140625" customWidth="1"/>
    <col min="3" max="3" width="15.44140625" customWidth="1"/>
    <col min="4" max="4" width="11.44140625" customWidth="1"/>
    <col min="5" max="5" width="18.33203125" customWidth="1"/>
    <col min="6" max="6" width="15.5546875" customWidth="1"/>
    <col min="7" max="7" width="11.44140625" customWidth="1"/>
    <col min="8" max="8" width="26.5546875" customWidth="1"/>
    <col min="9" max="9" width="24.5546875" customWidth="1"/>
    <col min="10" max="10" width="11.44140625" customWidth="1"/>
    <col min="11" max="11" width="19.33203125" customWidth="1"/>
    <col min="12" max="12" width="22.109375" customWidth="1"/>
    <col min="13" max="13" width="11.44140625" customWidth="1"/>
    <col min="14" max="18" width="14.5546875" customWidth="1"/>
    <col min="19" max="26" width="11.44140625" customWidth="1"/>
  </cols>
  <sheetData>
    <row r="3" spans="2:18" ht="14.4" x14ac:dyDescent="0.3">
      <c r="B3" s="185" t="s">
        <v>67</v>
      </c>
      <c r="C3" s="184"/>
      <c r="D3" s="184"/>
      <c r="E3" s="184"/>
      <c r="F3" s="181"/>
      <c r="H3" s="182" t="s">
        <v>68</v>
      </c>
      <c r="I3" s="183"/>
      <c r="K3" s="187" t="s">
        <v>69</v>
      </c>
      <c r="L3" s="188"/>
      <c r="M3" s="188"/>
      <c r="N3" s="188"/>
      <c r="O3" s="188"/>
      <c r="P3" s="188"/>
      <c r="Q3" s="188"/>
      <c r="R3" s="189"/>
    </row>
    <row r="4" spans="2:18" ht="14.4" x14ac:dyDescent="0.3">
      <c r="B4" s="38" t="s">
        <v>70</v>
      </c>
      <c r="C4" s="38" t="s">
        <v>71</v>
      </c>
      <c r="D4" s="40" t="s">
        <v>72</v>
      </c>
      <c r="E4" s="38" t="s">
        <v>73</v>
      </c>
      <c r="F4" s="38" t="s">
        <v>49</v>
      </c>
      <c r="H4" s="82" t="s">
        <v>67</v>
      </c>
      <c r="I4" s="83">
        <f>F9</f>
        <v>0</v>
      </c>
      <c r="K4" s="84" t="s">
        <v>63</v>
      </c>
      <c r="L4" s="85" t="s">
        <v>74</v>
      </c>
      <c r="M4" s="84" t="s">
        <v>75</v>
      </c>
      <c r="N4" s="86" t="s">
        <v>31</v>
      </c>
      <c r="O4" s="86" t="s">
        <v>32</v>
      </c>
      <c r="P4" s="86" t="s">
        <v>33</v>
      </c>
      <c r="Q4" s="86" t="s">
        <v>34</v>
      </c>
      <c r="R4" s="86" t="s">
        <v>35</v>
      </c>
    </row>
    <row r="5" spans="2:18" ht="14.4" x14ac:dyDescent="0.3">
      <c r="B5" s="87"/>
      <c r="C5" s="88"/>
      <c r="D5" s="89"/>
      <c r="E5" s="90"/>
      <c r="F5" s="91">
        <f t="shared" ref="F5:F8" si="0">D5*E5</f>
        <v>0</v>
      </c>
      <c r="H5" s="92" t="s">
        <v>76</v>
      </c>
      <c r="I5" s="93">
        <f>F18</f>
        <v>0</v>
      </c>
      <c r="K5" s="94" t="s">
        <v>76</v>
      </c>
      <c r="L5" s="95">
        <f t="shared" ref="L5:L7" si="1">I5</f>
        <v>0</v>
      </c>
      <c r="M5" s="96">
        <v>20</v>
      </c>
      <c r="N5" s="95">
        <f t="shared" ref="N5:R5" si="2">$L$5/$M$5</f>
        <v>0</v>
      </c>
      <c r="O5" s="95">
        <f t="shared" si="2"/>
        <v>0</v>
      </c>
      <c r="P5" s="95">
        <f t="shared" si="2"/>
        <v>0</v>
      </c>
      <c r="Q5" s="95">
        <f t="shared" si="2"/>
        <v>0</v>
      </c>
      <c r="R5" s="95">
        <f t="shared" si="2"/>
        <v>0</v>
      </c>
    </row>
    <row r="6" spans="2:18" ht="14.4" x14ac:dyDescent="0.3">
      <c r="B6" s="97"/>
      <c r="C6" s="98"/>
      <c r="D6" s="99"/>
      <c r="E6" s="100"/>
      <c r="F6" s="101">
        <f t="shared" si="0"/>
        <v>0</v>
      </c>
      <c r="H6" s="92" t="s">
        <v>77</v>
      </c>
      <c r="I6" s="93">
        <f>F35</f>
        <v>1520232</v>
      </c>
      <c r="K6" s="94" t="s">
        <v>77</v>
      </c>
      <c r="L6" s="95">
        <f t="shared" si="1"/>
        <v>1520232</v>
      </c>
      <c r="M6" s="96">
        <v>10</v>
      </c>
      <c r="N6" s="95">
        <f t="shared" ref="N6:R6" si="3">$L$6/$M$6</f>
        <v>152023.20000000001</v>
      </c>
      <c r="O6" s="95">
        <f t="shared" si="3"/>
        <v>152023.20000000001</v>
      </c>
      <c r="P6" s="95">
        <f t="shared" si="3"/>
        <v>152023.20000000001</v>
      </c>
      <c r="Q6" s="95">
        <f t="shared" si="3"/>
        <v>152023.20000000001</v>
      </c>
      <c r="R6" s="95">
        <f t="shared" si="3"/>
        <v>152023.20000000001</v>
      </c>
    </row>
    <row r="7" spans="2:18" ht="14.4" x14ac:dyDescent="0.3">
      <c r="B7" s="102"/>
      <c r="C7" s="103"/>
      <c r="D7" s="104"/>
      <c r="E7" s="105"/>
      <c r="F7" s="101">
        <f t="shared" si="0"/>
        <v>0</v>
      </c>
      <c r="H7" s="106" t="s">
        <v>78</v>
      </c>
      <c r="I7" s="107">
        <f>F52</f>
        <v>6500000</v>
      </c>
      <c r="K7" s="94" t="s">
        <v>78</v>
      </c>
      <c r="L7" s="95">
        <f t="shared" si="1"/>
        <v>6500000</v>
      </c>
      <c r="M7" s="96">
        <v>5</v>
      </c>
      <c r="N7" s="95">
        <f t="shared" ref="N7:R7" si="4">$L$7/$M$7</f>
        <v>1300000</v>
      </c>
      <c r="O7" s="95">
        <f t="shared" si="4"/>
        <v>1300000</v>
      </c>
      <c r="P7" s="95">
        <f t="shared" si="4"/>
        <v>1300000</v>
      </c>
      <c r="Q7" s="95">
        <f t="shared" si="4"/>
        <v>1300000</v>
      </c>
      <c r="R7" s="95">
        <f t="shared" si="4"/>
        <v>1300000</v>
      </c>
    </row>
    <row r="8" spans="2:18" ht="14.4" x14ac:dyDescent="0.3">
      <c r="B8" s="102"/>
      <c r="C8" s="103"/>
      <c r="D8" s="108"/>
      <c r="E8" s="105"/>
      <c r="F8" s="101">
        <f t="shared" si="0"/>
        <v>0</v>
      </c>
      <c r="H8" s="109" t="s">
        <v>49</v>
      </c>
      <c r="I8" s="80">
        <f>SUM(I4:I7)</f>
        <v>8020232</v>
      </c>
      <c r="K8" s="110" t="s">
        <v>49</v>
      </c>
      <c r="L8" s="111">
        <f>SUM(L4:L7)</f>
        <v>8020232</v>
      </c>
      <c r="M8" s="112"/>
      <c r="N8" s="111">
        <f t="shared" ref="N8:R8" si="5">SUM(N5:N7)</f>
        <v>1452023.2</v>
      </c>
      <c r="O8" s="111">
        <f t="shared" si="5"/>
        <v>1452023.2</v>
      </c>
      <c r="P8" s="111">
        <f t="shared" si="5"/>
        <v>1452023.2</v>
      </c>
      <c r="Q8" s="111">
        <f t="shared" si="5"/>
        <v>1452023.2</v>
      </c>
      <c r="R8" s="111">
        <f t="shared" si="5"/>
        <v>1452023.2</v>
      </c>
    </row>
    <row r="9" spans="2:18" ht="14.4" x14ac:dyDescent="0.3">
      <c r="B9" s="73" t="s">
        <v>49</v>
      </c>
      <c r="C9" s="73"/>
      <c r="D9" s="113"/>
      <c r="E9" s="73"/>
      <c r="F9" s="114">
        <f>SUM(F5:F8)</f>
        <v>0</v>
      </c>
    </row>
    <row r="12" spans="2:18" ht="14.4" x14ac:dyDescent="0.3">
      <c r="B12" s="185" t="s">
        <v>76</v>
      </c>
      <c r="C12" s="184"/>
      <c r="D12" s="184"/>
      <c r="E12" s="184"/>
      <c r="F12" s="181"/>
    </row>
    <row r="13" spans="2:18" ht="14.4" x14ac:dyDescent="0.3">
      <c r="B13" s="38" t="s">
        <v>70</v>
      </c>
      <c r="C13" s="38" t="s">
        <v>71</v>
      </c>
      <c r="D13" s="40" t="s">
        <v>72</v>
      </c>
      <c r="E13" s="38" t="s">
        <v>73</v>
      </c>
      <c r="F13" s="38" t="s">
        <v>49</v>
      </c>
    </row>
    <row r="14" spans="2:18" ht="14.4" x14ac:dyDescent="0.3">
      <c r="B14" s="87"/>
      <c r="C14" s="88"/>
      <c r="D14" s="89"/>
      <c r="E14" s="90"/>
      <c r="F14" s="91">
        <f>D14*E14</f>
        <v>0</v>
      </c>
    </row>
    <row r="15" spans="2:18" ht="14.4" x14ac:dyDescent="0.3">
      <c r="B15" s="97"/>
      <c r="C15" s="98"/>
      <c r="D15" s="99"/>
      <c r="E15" s="100"/>
      <c r="F15" s="101">
        <f t="shared" ref="F15:F17" si="6">(D15*E15)</f>
        <v>0</v>
      </c>
    </row>
    <row r="16" spans="2:18" ht="14.4" x14ac:dyDescent="0.3">
      <c r="B16" s="102"/>
      <c r="C16" s="103"/>
      <c r="D16" s="104"/>
      <c r="E16" s="105"/>
      <c r="F16" s="101">
        <f t="shared" si="6"/>
        <v>0</v>
      </c>
    </row>
    <row r="17" spans="2:6" ht="14.4" x14ac:dyDescent="0.3">
      <c r="B17" s="102"/>
      <c r="C17" s="103"/>
      <c r="D17" s="108"/>
      <c r="E17" s="105"/>
      <c r="F17" s="101">
        <f t="shared" si="6"/>
        <v>0</v>
      </c>
    </row>
    <row r="18" spans="2:6" ht="14.4" x14ac:dyDescent="0.3">
      <c r="B18" s="73" t="s">
        <v>49</v>
      </c>
      <c r="C18" s="73"/>
      <c r="D18" s="113"/>
      <c r="E18" s="73"/>
      <c r="F18" s="114">
        <f>SUM(F14:F17)</f>
        <v>0</v>
      </c>
    </row>
    <row r="21" spans="2:6" ht="15.75" customHeight="1" x14ac:dyDescent="0.3">
      <c r="B21" s="185" t="s">
        <v>77</v>
      </c>
      <c r="C21" s="184"/>
      <c r="D21" s="184"/>
      <c r="E21" s="184"/>
      <c r="F21" s="181"/>
    </row>
    <row r="22" spans="2:6" ht="15.75" customHeight="1" x14ac:dyDescent="0.3">
      <c r="B22" s="38" t="s">
        <v>70</v>
      </c>
      <c r="C22" s="38" t="s">
        <v>71</v>
      </c>
      <c r="D22" s="40" t="s">
        <v>72</v>
      </c>
      <c r="E22" s="38" t="s">
        <v>73</v>
      </c>
      <c r="F22" s="38" t="s">
        <v>49</v>
      </c>
    </row>
    <row r="23" spans="2:6" ht="15.75" customHeight="1" x14ac:dyDescent="0.3">
      <c r="B23" s="87" t="s">
        <v>79</v>
      </c>
      <c r="C23" s="88" t="s">
        <v>64</v>
      </c>
      <c r="D23" s="89">
        <v>3</v>
      </c>
      <c r="E23" s="90">
        <v>138900</v>
      </c>
      <c r="F23" s="91">
        <f t="shared" ref="F23:F31" si="7">D23*E23</f>
        <v>416700</v>
      </c>
    </row>
    <row r="24" spans="2:6" ht="15.75" customHeight="1" x14ac:dyDescent="0.3">
      <c r="B24" s="115" t="s">
        <v>80</v>
      </c>
      <c r="C24" s="116" t="s">
        <v>64</v>
      </c>
      <c r="D24" s="117">
        <v>3</v>
      </c>
      <c r="E24" s="118">
        <v>367844</v>
      </c>
      <c r="F24" s="119">
        <f t="shared" si="7"/>
        <v>1103532</v>
      </c>
    </row>
    <row r="25" spans="2:6" ht="15.75" customHeight="1" x14ac:dyDescent="0.3">
      <c r="B25" s="115"/>
      <c r="C25" s="116"/>
      <c r="D25" s="117"/>
      <c r="E25" s="118"/>
      <c r="F25" s="119">
        <f t="shared" si="7"/>
        <v>0</v>
      </c>
    </row>
    <row r="26" spans="2:6" ht="15.75" customHeight="1" x14ac:dyDescent="0.3">
      <c r="B26" s="115"/>
      <c r="C26" s="116"/>
      <c r="D26" s="117"/>
      <c r="E26" s="118"/>
      <c r="F26" s="119">
        <f t="shared" si="7"/>
        <v>0</v>
      </c>
    </row>
    <row r="27" spans="2:6" ht="15.75" customHeight="1" x14ac:dyDescent="0.3">
      <c r="B27" s="115"/>
      <c r="C27" s="116"/>
      <c r="D27" s="117"/>
      <c r="E27" s="118"/>
      <c r="F27" s="119">
        <f t="shared" si="7"/>
        <v>0</v>
      </c>
    </row>
    <row r="28" spans="2:6" ht="15.75" customHeight="1" x14ac:dyDescent="0.3">
      <c r="B28" s="115"/>
      <c r="C28" s="116"/>
      <c r="D28" s="117"/>
      <c r="E28" s="118"/>
      <c r="F28" s="119">
        <f t="shared" si="7"/>
        <v>0</v>
      </c>
    </row>
    <row r="29" spans="2:6" ht="15.75" customHeight="1" x14ac:dyDescent="0.3">
      <c r="B29" s="115"/>
      <c r="C29" s="116"/>
      <c r="D29" s="117"/>
      <c r="E29" s="118"/>
      <c r="F29" s="119">
        <f t="shared" si="7"/>
        <v>0</v>
      </c>
    </row>
    <row r="30" spans="2:6" ht="15.75" customHeight="1" x14ac:dyDescent="0.3">
      <c r="B30" s="115"/>
      <c r="C30" s="116"/>
      <c r="D30" s="117"/>
      <c r="E30" s="118"/>
      <c r="F30" s="119">
        <f t="shared" si="7"/>
        <v>0</v>
      </c>
    </row>
    <row r="31" spans="2:6" ht="15.75" customHeight="1" x14ac:dyDescent="0.3">
      <c r="B31" s="115"/>
      <c r="C31" s="116"/>
      <c r="D31" s="117"/>
      <c r="E31" s="118"/>
      <c r="F31" s="119">
        <f t="shared" si="7"/>
        <v>0</v>
      </c>
    </row>
    <row r="32" spans="2:6" ht="15.75" customHeight="1" x14ac:dyDescent="0.3">
      <c r="B32" s="97"/>
      <c r="C32" s="98"/>
      <c r="D32" s="99"/>
      <c r="E32" s="100"/>
      <c r="F32" s="101">
        <f t="shared" ref="F32:F34" si="8">(D32*E32)</f>
        <v>0</v>
      </c>
    </row>
    <row r="33" spans="2:6" ht="15.75" customHeight="1" x14ac:dyDescent="0.3">
      <c r="B33" s="102"/>
      <c r="C33" s="103"/>
      <c r="D33" s="104"/>
      <c r="E33" s="105"/>
      <c r="F33" s="101">
        <f t="shared" si="8"/>
        <v>0</v>
      </c>
    </row>
    <row r="34" spans="2:6" ht="15.75" customHeight="1" x14ac:dyDescent="0.3">
      <c r="B34" s="102"/>
      <c r="C34" s="103"/>
      <c r="D34" s="108"/>
      <c r="E34" s="105"/>
      <c r="F34" s="101">
        <f t="shared" si="8"/>
        <v>0</v>
      </c>
    </row>
    <row r="35" spans="2:6" ht="15.75" customHeight="1" x14ac:dyDescent="0.3">
      <c r="B35" s="73" t="s">
        <v>49</v>
      </c>
      <c r="C35" s="73"/>
      <c r="D35" s="113"/>
      <c r="E35" s="73"/>
      <c r="F35" s="114">
        <f>SUM(F23:F34)</f>
        <v>1520232</v>
      </c>
    </row>
    <row r="36" spans="2:6" ht="15.75" customHeight="1" x14ac:dyDescent="0.3"/>
    <row r="37" spans="2:6" ht="15.75" customHeight="1" x14ac:dyDescent="0.3"/>
    <row r="38" spans="2:6" ht="15.75" customHeight="1" x14ac:dyDescent="0.3">
      <c r="B38" s="185" t="s">
        <v>78</v>
      </c>
      <c r="C38" s="184"/>
      <c r="D38" s="184"/>
      <c r="E38" s="184"/>
      <c r="F38" s="181"/>
    </row>
    <row r="39" spans="2:6" ht="15.75" customHeight="1" x14ac:dyDescent="0.3">
      <c r="B39" s="38" t="s">
        <v>70</v>
      </c>
      <c r="C39" s="38" t="s">
        <v>71</v>
      </c>
      <c r="D39" s="40" t="s">
        <v>72</v>
      </c>
      <c r="E39" s="38" t="s">
        <v>73</v>
      </c>
      <c r="F39" s="38" t="s">
        <v>49</v>
      </c>
    </row>
    <row r="40" spans="2:6" ht="15.75" customHeight="1" x14ac:dyDescent="0.3">
      <c r="B40" s="87" t="s">
        <v>81</v>
      </c>
      <c r="C40" s="88" t="s">
        <v>64</v>
      </c>
      <c r="D40" s="89">
        <v>2</v>
      </c>
      <c r="E40" s="90">
        <v>2000000</v>
      </c>
      <c r="F40" s="91">
        <f t="shared" ref="F40:F48" si="9">D40*E40</f>
        <v>4000000</v>
      </c>
    </row>
    <row r="41" spans="2:6" ht="15.75" customHeight="1" x14ac:dyDescent="0.3">
      <c r="B41" s="115" t="s">
        <v>82</v>
      </c>
      <c r="C41" s="116" t="s">
        <v>64</v>
      </c>
      <c r="D41" s="117">
        <v>1</v>
      </c>
      <c r="E41" s="118">
        <v>2500000</v>
      </c>
      <c r="F41" s="119">
        <f t="shared" si="9"/>
        <v>2500000</v>
      </c>
    </row>
    <row r="42" spans="2:6" ht="15.75" customHeight="1" x14ac:dyDescent="0.3">
      <c r="B42" s="115"/>
      <c r="C42" s="116"/>
      <c r="D42" s="117"/>
      <c r="E42" s="118"/>
      <c r="F42" s="119">
        <f t="shared" si="9"/>
        <v>0</v>
      </c>
    </row>
    <row r="43" spans="2:6" ht="15.75" customHeight="1" x14ac:dyDescent="0.3">
      <c r="B43" s="115"/>
      <c r="C43" s="116"/>
      <c r="D43" s="117"/>
      <c r="E43" s="118"/>
      <c r="F43" s="119">
        <f t="shared" si="9"/>
        <v>0</v>
      </c>
    </row>
    <row r="44" spans="2:6" ht="15.75" customHeight="1" x14ac:dyDescent="0.3">
      <c r="B44" s="115"/>
      <c r="C44" s="116"/>
      <c r="D44" s="117"/>
      <c r="E44" s="118"/>
      <c r="F44" s="119">
        <f t="shared" si="9"/>
        <v>0</v>
      </c>
    </row>
    <row r="45" spans="2:6" ht="15.75" customHeight="1" x14ac:dyDescent="0.3">
      <c r="B45" s="115"/>
      <c r="C45" s="116"/>
      <c r="D45" s="117"/>
      <c r="E45" s="118"/>
      <c r="F45" s="119">
        <f t="shared" si="9"/>
        <v>0</v>
      </c>
    </row>
    <row r="46" spans="2:6" ht="15.75" customHeight="1" x14ac:dyDescent="0.3">
      <c r="B46" s="115"/>
      <c r="C46" s="116"/>
      <c r="D46" s="117"/>
      <c r="E46" s="118"/>
      <c r="F46" s="119">
        <f t="shared" si="9"/>
        <v>0</v>
      </c>
    </row>
    <row r="47" spans="2:6" ht="15.75" customHeight="1" x14ac:dyDescent="0.3">
      <c r="B47" s="115"/>
      <c r="C47" s="116"/>
      <c r="D47" s="117"/>
      <c r="E47" s="118"/>
      <c r="F47" s="119">
        <f t="shared" si="9"/>
        <v>0</v>
      </c>
    </row>
    <row r="48" spans="2:6" ht="15.75" customHeight="1" x14ac:dyDescent="0.3">
      <c r="B48" s="115"/>
      <c r="C48" s="116"/>
      <c r="D48" s="117"/>
      <c r="E48" s="118"/>
      <c r="F48" s="119">
        <f t="shared" si="9"/>
        <v>0</v>
      </c>
    </row>
    <row r="49" spans="2:6" ht="15.75" customHeight="1" x14ac:dyDescent="0.3">
      <c r="B49" s="97"/>
      <c r="C49" s="98"/>
      <c r="D49" s="99"/>
      <c r="E49" s="100"/>
      <c r="F49" s="101">
        <f t="shared" ref="F49:F51" si="10">(D49*E49)</f>
        <v>0</v>
      </c>
    </row>
    <row r="50" spans="2:6" ht="15.75" customHeight="1" x14ac:dyDescent="0.3">
      <c r="B50" s="102"/>
      <c r="C50" s="103"/>
      <c r="D50" s="104"/>
      <c r="E50" s="105"/>
      <c r="F50" s="101">
        <f t="shared" si="10"/>
        <v>0</v>
      </c>
    </row>
    <row r="51" spans="2:6" ht="15.75" customHeight="1" x14ac:dyDescent="0.3">
      <c r="B51" s="102"/>
      <c r="C51" s="103"/>
      <c r="D51" s="108"/>
      <c r="E51" s="105"/>
      <c r="F51" s="101">
        <f t="shared" si="10"/>
        <v>0</v>
      </c>
    </row>
    <row r="52" spans="2:6" ht="15.75" customHeight="1" x14ac:dyDescent="0.3">
      <c r="B52" s="73" t="s">
        <v>49</v>
      </c>
      <c r="C52" s="73"/>
      <c r="D52" s="113"/>
      <c r="E52" s="73"/>
      <c r="F52" s="114">
        <f>SUM(F40:F51)</f>
        <v>6500000</v>
      </c>
    </row>
    <row r="53" spans="2:6" ht="15.75" customHeight="1" x14ac:dyDescent="0.3"/>
    <row r="54" spans="2:6" ht="15.75" customHeight="1" x14ac:dyDescent="0.3"/>
    <row r="55" spans="2:6" ht="15.75" customHeight="1" x14ac:dyDescent="0.3"/>
    <row r="56" spans="2:6" ht="15.75" customHeight="1" x14ac:dyDescent="0.3"/>
    <row r="57" spans="2:6" ht="15.75" customHeight="1" x14ac:dyDescent="0.3"/>
    <row r="58" spans="2:6" ht="15.75" customHeight="1" x14ac:dyDescent="0.3"/>
    <row r="59" spans="2:6" ht="15.75" customHeight="1" x14ac:dyDescent="0.3"/>
    <row r="60" spans="2:6" ht="15.75" customHeight="1" x14ac:dyDescent="0.3"/>
    <row r="61" spans="2:6" ht="15.75" customHeight="1" x14ac:dyDescent="0.3"/>
    <row r="62" spans="2:6" ht="15.75" customHeight="1" x14ac:dyDescent="0.3"/>
    <row r="63" spans="2:6" ht="15.75" customHeight="1" x14ac:dyDescent="0.3"/>
    <row r="64" spans="2: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B38:F38"/>
    <mergeCell ref="B3:F3"/>
    <mergeCell ref="H3:I3"/>
    <mergeCell ref="K3:R3"/>
    <mergeCell ref="B12:F12"/>
    <mergeCell ref="B21:F21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Q1000"/>
  <sheetViews>
    <sheetView workbookViewId="0"/>
  </sheetViews>
  <sheetFormatPr baseColWidth="10" defaultColWidth="14.44140625" defaultRowHeight="15" customHeight="1" x14ac:dyDescent="0.3"/>
  <cols>
    <col min="1" max="1" width="11.44140625" customWidth="1"/>
    <col min="2" max="2" width="22.6640625" customWidth="1"/>
    <col min="3" max="3" width="24" customWidth="1"/>
    <col min="4" max="4" width="19" customWidth="1"/>
    <col min="5" max="5" width="26.109375" customWidth="1"/>
    <col min="6" max="6" width="18.5546875" customWidth="1"/>
    <col min="7" max="7" width="18.88671875" customWidth="1"/>
    <col min="8" max="8" width="19.33203125" customWidth="1"/>
    <col min="9" max="9" width="17.5546875" customWidth="1"/>
    <col min="10" max="10" width="18.44140625" customWidth="1"/>
    <col min="11" max="11" width="23" customWidth="1"/>
    <col min="12" max="12" width="22.6640625" customWidth="1"/>
    <col min="13" max="13" width="18.33203125" customWidth="1"/>
    <col min="14" max="15" width="15.6640625" customWidth="1"/>
    <col min="16" max="16" width="14.5546875" customWidth="1"/>
    <col min="17" max="17" width="14.6640625" customWidth="1"/>
    <col min="18" max="26" width="11.44140625" customWidth="1"/>
  </cols>
  <sheetData>
    <row r="3" spans="2:13" ht="14.4" x14ac:dyDescent="0.3">
      <c r="B3" s="185" t="s">
        <v>83</v>
      </c>
      <c r="C3" s="184"/>
      <c r="D3" s="181"/>
      <c r="E3" s="185" t="s">
        <v>56</v>
      </c>
      <c r="F3" s="184"/>
      <c r="G3" s="181"/>
      <c r="H3" s="185" t="s">
        <v>59</v>
      </c>
      <c r="I3" s="184"/>
      <c r="J3" s="190"/>
      <c r="K3" s="38" t="s">
        <v>84</v>
      </c>
      <c r="L3" s="120" t="s">
        <v>85</v>
      </c>
      <c r="M3" s="191" t="s">
        <v>86</v>
      </c>
    </row>
    <row r="4" spans="2:13" ht="14.4" x14ac:dyDescent="0.3">
      <c r="B4" s="40" t="s">
        <v>87</v>
      </c>
      <c r="C4" s="40" t="s">
        <v>88</v>
      </c>
      <c r="D4" s="40" t="s">
        <v>89</v>
      </c>
      <c r="E4" s="40" t="s">
        <v>58</v>
      </c>
      <c r="F4" s="40" t="s">
        <v>57</v>
      </c>
      <c r="G4" s="40" t="s">
        <v>49</v>
      </c>
      <c r="H4" s="40" t="s">
        <v>58</v>
      </c>
      <c r="I4" s="40" t="s">
        <v>57</v>
      </c>
      <c r="J4" s="40" t="s">
        <v>49</v>
      </c>
      <c r="K4" s="40" t="s">
        <v>58</v>
      </c>
      <c r="L4" s="121" t="s">
        <v>49</v>
      </c>
      <c r="M4" s="192"/>
    </row>
    <row r="5" spans="2:13" ht="14.4" x14ac:dyDescent="0.3">
      <c r="B5" s="76" t="s">
        <v>90</v>
      </c>
      <c r="C5" s="122">
        <v>1800000</v>
      </c>
      <c r="D5" s="123">
        <v>30</v>
      </c>
      <c r="E5" s="124">
        <f>C5*ParaFiscales!$C$21</f>
        <v>72000</v>
      </c>
      <c r="F5" s="125">
        <f>C5*ParaFiscales!$C$20</f>
        <v>153000</v>
      </c>
      <c r="G5" s="125">
        <f t="shared" ref="G5:G16" si="0">SUM(E5:F5)</f>
        <v>225000</v>
      </c>
      <c r="H5" s="125">
        <f>C5*ParaFiscales!$C$24</f>
        <v>72000</v>
      </c>
      <c r="I5" s="125">
        <f>C5*ParaFiscales!$C$23</f>
        <v>216000</v>
      </c>
      <c r="J5" s="125">
        <f t="shared" ref="J5:J16" si="1">SUM(H5:I5)</f>
        <v>288000</v>
      </c>
      <c r="K5" s="122">
        <v>200000</v>
      </c>
      <c r="L5" s="125">
        <f t="shared" ref="L5:L16" si="2">(C5-E5-H5+K5)</f>
        <v>1856000</v>
      </c>
      <c r="M5" s="126">
        <f t="shared" ref="M5:M16" si="3">C5*12</f>
        <v>21600000</v>
      </c>
    </row>
    <row r="6" spans="2:13" ht="14.4" x14ac:dyDescent="0.3">
      <c r="B6" s="31" t="s">
        <v>91</v>
      </c>
      <c r="C6" s="127">
        <v>1800000</v>
      </c>
      <c r="D6" s="128">
        <v>30</v>
      </c>
      <c r="E6" s="129">
        <f>C6*ParaFiscales!$C$21</f>
        <v>72000</v>
      </c>
      <c r="F6" s="130">
        <f>C6*ParaFiscales!$C$20</f>
        <v>153000</v>
      </c>
      <c r="G6" s="130">
        <f t="shared" si="0"/>
        <v>225000</v>
      </c>
      <c r="H6" s="130">
        <f>C6*ParaFiscales!$C$24</f>
        <v>72000</v>
      </c>
      <c r="I6" s="130">
        <f>C6*ParaFiscales!$C$23</f>
        <v>216000</v>
      </c>
      <c r="J6" s="130">
        <f t="shared" si="1"/>
        <v>288000</v>
      </c>
      <c r="K6" s="127">
        <v>200000</v>
      </c>
      <c r="L6" s="130">
        <f t="shared" si="2"/>
        <v>1856000</v>
      </c>
      <c r="M6" s="126">
        <f t="shared" si="3"/>
        <v>21600000</v>
      </c>
    </row>
    <row r="7" spans="2:13" ht="14.4" x14ac:dyDescent="0.3">
      <c r="B7" s="31" t="s">
        <v>92</v>
      </c>
      <c r="C7" s="127">
        <v>1600000</v>
      </c>
      <c r="D7" s="128">
        <v>30</v>
      </c>
      <c r="E7" s="129">
        <f>C7*ParaFiscales!$C$21</f>
        <v>64000</v>
      </c>
      <c r="F7" s="130">
        <f>C7*ParaFiscales!$C$20</f>
        <v>136000</v>
      </c>
      <c r="G7" s="130">
        <f t="shared" si="0"/>
        <v>200000</v>
      </c>
      <c r="H7" s="130">
        <f>C7*ParaFiscales!$C$24</f>
        <v>64000</v>
      </c>
      <c r="I7" s="130">
        <f>C7*ParaFiscales!$C$23</f>
        <v>192000</v>
      </c>
      <c r="J7" s="130">
        <f t="shared" si="1"/>
        <v>256000</v>
      </c>
      <c r="K7" s="127">
        <v>200000</v>
      </c>
      <c r="L7" s="130">
        <f t="shared" si="2"/>
        <v>1672000</v>
      </c>
      <c r="M7" s="126">
        <f t="shared" si="3"/>
        <v>19200000</v>
      </c>
    </row>
    <row r="8" spans="2:13" ht="14.4" x14ac:dyDescent="0.3">
      <c r="B8" s="31"/>
      <c r="C8" s="127">
        <v>1800000</v>
      </c>
      <c r="D8" s="128">
        <v>30</v>
      </c>
      <c r="E8" s="129">
        <f>C8*ParaFiscales!$C$21</f>
        <v>72000</v>
      </c>
      <c r="F8" s="130">
        <f>C8*ParaFiscales!$C$20</f>
        <v>153000</v>
      </c>
      <c r="G8" s="130">
        <f t="shared" si="0"/>
        <v>225000</v>
      </c>
      <c r="H8" s="130">
        <f>C8*ParaFiscales!$C$24</f>
        <v>72000</v>
      </c>
      <c r="I8" s="130">
        <f>C8*ParaFiscales!$C$23</f>
        <v>216000</v>
      </c>
      <c r="J8" s="130">
        <f t="shared" si="1"/>
        <v>288000</v>
      </c>
      <c r="K8" s="127"/>
      <c r="L8" s="130">
        <f t="shared" si="2"/>
        <v>1656000</v>
      </c>
      <c r="M8" s="126">
        <f t="shared" si="3"/>
        <v>21600000</v>
      </c>
    </row>
    <row r="9" spans="2:13" ht="14.4" x14ac:dyDescent="0.3">
      <c r="B9" s="31"/>
      <c r="C9" s="127"/>
      <c r="D9" s="128"/>
      <c r="E9" s="129">
        <f>C9*ParaFiscales!$C$21</f>
        <v>0</v>
      </c>
      <c r="F9" s="130">
        <f>C9*ParaFiscales!$C$20</f>
        <v>0</v>
      </c>
      <c r="G9" s="130">
        <f t="shared" si="0"/>
        <v>0</v>
      </c>
      <c r="H9" s="130">
        <f>C9*ParaFiscales!$C$24</f>
        <v>0</v>
      </c>
      <c r="I9" s="130">
        <f>C9*ParaFiscales!$C$23</f>
        <v>0</v>
      </c>
      <c r="J9" s="130">
        <f t="shared" si="1"/>
        <v>0</v>
      </c>
      <c r="K9" s="127"/>
      <c r="L9" s="130">
        <f t="shared" si="2"/>
        <v>0</v>
      </c>
      <c r="M9" s="126">
        <f t="shared" si="3"/>
        <v>0</v>
      </c>
    </row>
    <row r="10" spans="2:13" ht="14.4" x14ac:dyDescent="0.3">
      <c r="B10" s="31"/>
      <c r="C10" s="127"/>
      <c r="D10" s="45"/>
      <c r="E10" s="129">
        <f>C10*ParaFiscales!$C$21</f>
        <v>0</v>
      </c>
      <c r="F10" s="130">
        <f>C10*ParaFiscales!$C$20</f>
        <v>0</v>
      </c>
      <c r="G10" s="130">
        <f t="shared" si="0"/>
        <v>0</v>
      </c>
      <c r="H10" s="130">
        <f>C10*ParaFiscales!$C$24</f>
        <v>0</v>
      </c>
      <c r="I10" s="130">
        <f>C10*ParaFiscales!$C$23</f>
        <v>0</v>
      </c>
      <c r="J10" s="130">
        <f t="shared" si="1"/>
        <v>0</v>
      </c>
      <c r="K10" s="127"/>
      <c r="L10" s="130">
        <f t="shared" si="2"/>
        <v>0</v>
      </c>
      <c r="M10" s="126">
        <f t="shared" si="3"/>
        <v>0</v>
      </c>
    </row>
    <row r="11" spans="2:13" ht="14.4" x14ac:dyDescent="0.3">
      <c r="B11" s="31"/>
      <c r="C11" s="127"/>
      <c r="D11" s="45"/>
      <c r="E11" s="129">
        <f>C11*ParaFiscales!$C$21</f>
        <v>0</v>
      </c>
      <c r="F11" s="130">
        <f>C11*ParaFiscales!$C$20</f>
        <v>0</v>
      </c>
      <c r="G11" s="130">
        <f t="shared" si="0"/>
        <v>0</v>
      </c>
      <c r="H11" s="130">
        <f>C11*ParaFiscales!$C$24</f>
        <v>0</v>
      </c>
      <c r="I11" s="130">
        <f>C11*ParaFiscales!$C$23</f>
        <v>0</v>
      </c>
      <c r="J11" s="130">
        <f t="shared" si="1"/>
        <v>0</v>
      </c>
      <c r="K11" s="127"/>
      <c r="L11" s="130">
        <f t="shared" si="2"/>
        <v>0</v>
      </c>
      <c r="M11" s="126">
        <f t="shared" si="3"/>
        <v>0</v>
      </c>
    </row>
    <row r="12" spans="2:13" ht="14.4" x14ac:dyDescent="0.3">
      <c r="B12" s="31"/>
      <c r="C12" s="127"/>
      <c r="D12" s="45"/>
      <c r="E12" s="129">
        <f>C12*ParaFiscales!$C$21</f>
        <v>0</v>
      </c>
      <c r="F12" s="130">
        <f>C12*ParaFiscales!$C$20</f>
        <v>0</v>
      </c>
      <c r="G12" s="130">
        <f t="shared" si="0"/>
        <v>0</v>
      </c>
      <c r="H12" s="130">
        <f>C12*ParaFiscales!$C$24</f>
        <v>0</v>
      </c>
      <c r="I12" s="130">
        <f>C12*ParaFiscales!$C$23</f>
        <v>0</v>
      </c>
      <c r="J12" s="130">
        <f t="shared" si="1"/>
        <v>0</v>
      </c>
      <c r="K12" s="127"/>
      <c r="L12" s="130">
        <f t="shared" si="2"/>
        <v>0</v>
      </c>
      <c r="M12" s="126">
        <f t="shared" si="3"/>
        <v>0</v>
      </c>
    </row>
    <row r="13" spans="2:13" ht="14.4" x14ac:dyDescent="0.3">
      <c r="B13" s="31"/>
      <c r="C13" s="127"/>
      <c r="D13" s="45"/>
      <c r="E13" s="129">
        <f>C13*ParaFiscales!$C$21</f>
        <v>0</v>
      </c>
      <c r="F13" s="130">
        <f>C13*ParaFiscales!$C$20</f>
        <v>0</v>
      </c>
      <c r="G13" s="130">
        <f t="shared" si="0"/>
        <v>0</v>
      </c>
      <c r="H13" s="130">
        <f>C13*ParaFiscales!$C$24</f>
        <v>0</v>
      </c>
      <c r="I13" s="130">
        <f>C13*ParaFiscales!$C$23</f>
        <v>0</v>
      </c>
      <c r="J13" s="130">
        <f t="shared" si="1"/>
        <v>0</v>
      </c>
      <c r="K13" s="127"/>
      <c r="L13" s="130">
        <f t="shared" si="2"/>
        <v>0</v>
      </c>
      <c r="M13" s="126">
        <f t="shared" si="3"/>
        <v>0</v>
      </c>
    </row>
    <row r="14" spans="2:13" ht="14.4" x14ac:dyDescent="0.3">
      <c r="B14" s="31"/>
      <c r="C14" s="127"/>
      <c r="D14" s="45"/>
      <c r="E14" s="129">
        <f>C14*ParaFiscales!$C$21</f>
        <v>0</v>
      </c>
      <c r="F14" s="130">
        <f>C14*ParaFiscales!$C$20</f>
        <v>0</v>
      </c>
      <c r="G14" s="130">
        <f t="shared" si="0"/>
        <v>0</v>
      </c>
      <c r="H14" s="130">
        <f>C14*ParaFiscales!$C$24</f>
        <v>0</v>
      </c>
      <c r="I14" s="130">
        <f>C14*ParaFiscales!$C$23</f>
        <v>0</v>
      </c>
      <c r="J14" s="130">
        <f t="shared" si="1"/>
        <v>0</v>
      </c>
      <c r="K14" s="127"/>
      <c r="L14" s="130">
        <f t="shared" si="2"/>
        <v>0</v>
      </c>
      <c r="M14" s="126">
        <f t="shared" si="3"/>
        <v>0</v>
      </c>
    </row>
    <row r="15" spans="2:13" ht="14.4" x14ac:dyDescent="0.3">
      <c r="B15" s="31"/>
      <c r="C15" s="127"/>
      <c r="D15" s="45"/>
      <c r="E15" s="129">
        <f>C15*ParaFiscales!$C$21</f>
        <v>0</v>
      </c>
      <c r="F15" s="130">
        <f>C15*ParaFiscales!$C$20</f>
        <v>0</v>
      </c>
      <c r="G15" s="130">
        <f t="shared" si="0"/>
        <v>0</v>
      </c>
      <c r="H15" s="130">
        <f>C15*ParaFiscales!$C$24</f>
        <v>0</v>
      </c>
      <c r="I15" s="130">
        <f>C15*ParaFiscales!$C$23</f>
        <v>0</v>
      </c>
      <c r="J15" s="130">
        <f t="shared" si="1"/>
        <v>0</v>
      </c>
      <c r="K15" s="127"/>
      <c r="L15" s="130">
        <f t="shared" si="2"/>
        <v>0</v>
      </c>
      <c r="M15" s="126">
        <f t="shared" si="3"/>
        <v>0</v>
      </c>
    </row>
    <row r="16" spans="2:13" ht="14.4" x14ac:dyDescent="0.3">
      <c r="B16" s="131"/>
      <c r="C16" s="132"/>
      <c r="D16" s="133"/>
      <c r="E16" s="129">
        <f>C16*ParaFiscales!$C$21</f>
        <v>0</v>
      </c>
      <c r="F16" s="130">
        <f>C16*ParaFiscales!$C$20</f>
        <v>0</v>
      </c>
      <c r="G16" s="130">
        <f t="shared" si="0"/>
        <v>0</v>
      </c>
      <c r="H16" s="130">
        <f>C16*ParaFiscales!$C$24</f>
        <v>0</v>
      </c>
      <c r="I16" s="130">
        <f>C16*ParaFiscales!$C$23</f>
        <v>0</v>
      </c>
      <c r="J16" s="130">
        <f t="shared" si="1"/>
        <v>0</v>
      </c>
      <c r="K16" s="132"/>
      <c r="L16" s="130">
        <f t="shared" si="2"/>
        <v>0</v>
      </c>
      <c r="M16" s="126">
        <f t="shared" si="3"/>
        <v>0</v>
      </c>
    </row>
    <row r="17" spans="2:17" ht="14.4" x14ac:dyDescent="0.3">
      <c r="B17" s="73" t="s">
        <v>24</v>
      </c>
      <c r="C17" s="114">
        <f>SUM(C5:C16)</f>
        <v>7000000</v>
      </c>
      <c r="D17" s="73"/>
      <c r="E17" s="114">
        <f t="shared" ref="E17:M17" si="4">SUM(E5:E16)</f>
        <v>280000</v>
      </c>
      <c r="F17" s="114">
        <f t="shared" si="4"/>
        <v>595000</v>
      </c>
      <c r="G17" s="114">
        <f t="shared" si="4"/>
        <v>875000</v>
      </c>
      <c r="H17" s="114">
        <f t="shared" si="4"/>
        <v>280000</v>
      </c>
      <c r="I17" s="114">
        <f t="shared" si="4"/>
        <v>840000</v>
      </c>
      <c r="J17" s="114">
        <f t="shared" si="4"/>
        <v>1120000</v>
      </c>
      <c r="K17" s="114">
        <f t="shared" si="4"/>
        <v>600000</v>
      </c>
      <c r="L17" s="134">
        <f t="shared" si="4"/>
        <v>7040000</v>
      </c>
      <c r="M17" s="114">
        <f t="shared" si="4"/>
        <v>84000000</v>
      </c>
    </row>
    <row r="18" spans="2:17" ht="14.4" x14ac:dyDescent="0.3">
      <c r="C18" s="135"/>
      <c r="E18" s="135"/>
      <c r="F18" s="135"/>
      <c r="G18" s="135"/>
      <c r="H18" s="135"/>
      <c r="I18" s="135"/>
      <c r="J18" s="135"/>
      <c r="K18" s="135"/>
      <c r="L18" s="135"/>
    </row>
    <row r="19" spans="2:17" ht="14.4" x14ac:dyDescent="0.3">
      <c r="E19" s="180" t="s">
        <v>93</v>
      </c>
      <c r="F19" s="184"/>
      <c r="G19" s="184"/>
      <c r="H19" s="181"/>
    </row>
    <row r="20" spans="2:17" ht="14.4" x14ac:dyDescent="0.3">
      <c r="B20" s="180" t="s">
        <v>45</v>
      </c>
      <c r="C20" s="181"/>
      <c r="E20" s="40" t="s">
        <v>94</v>
      </c>
      <c r="F20" s="40" t="s">
        <v>45</v>
      </c>
      <c r="G20" s="40" t="s">
        <v>95</v>
      </c>
      <c r="H20" s="40" t="s">
        <v>55</v>
      </c>
    </row>
    <row r="21" spans="2:17" ht="15.75" customHeight="1" x14ac:dyDescent="0.3">
      <c r="B21" s="56" t="s">
        <v>46</v>
      </c>
      <c r="C21" s="136">
        <f>$C$17*ParaFiscales!C8</f>
        <v>140000</v>
      </c>
      <c r="E21" s="137">
        <f>C17*12</f>
        <v>84000000</v>
      </c>
      <c r="F21" s="137">
        <f>C24*12</f>
        <v>7560000</v>
      </c>
      <c r="G21" s="137">
        <f>C30*12</f>
        <v>18337200</v>
      </c>
      <c r="H21" s="137">
        <f>(C33+C35)*12</f>
        <v>17220000</v>
      </c>
    </row>
    <row r="22" spans="2:17" ht="15.75" customHeight="1" x14ac:dyDescent="0.3">
      <c r="B22" s="57" t="s">
        <v>47</v>
      </c>
      <c r="C22" s="136">
        <f>$C$17*ParaFiscales!C9</f>
        <v>210000</v>
      </c>
    </row>
    <row r="23" spans="2:17" ht="15.75" customHeight="1" x14ac:dyDescent="0.3">
      <c r="B23" s="62" t="s">
        <v>48</v>
      </c>
      <c r="C23" s="136">
        <f>$C$17*ParaFiscales!C10</f>
        <v>280000</v>
      </c>
    </row>
    <row r="24" spans="2:17" ht="15.75" customHeight="1" x14ac:dyDescent="0.3">
      <c r="B24" s="138" t="s">
        <v>49</v>
      </c>
      <c r="C24" s="139">
        <f>SUM(C21:C23)</f>
        <v>630000</v>
      </c>
      <c r="E24" s="180" t="s">
        <v>96</v>
      </c>
      <c r="F24" s="184"/>
      <c r="G24" s="184"/>
      <c r="H24" s="184"/>
      <c r="I24" s="184"/>
      <c r="J24" s="181"/>
      <c r="L24" s="180" t="s">
        <v>97</v>
      </c>
      <c r="M24" s="184"/>
      <c r="N24" s="184"/>
      <c r="O24" s="184"/>
      <c r="P24" s="184"/>
      <c r="Q24" s="181"/>
    </row>
    <row r="25" spans="2:17" ht="15.75" customHeight="1" x14ac:dyDescent="0.3">
      <c r="B25" s="182" t="s">
        <v>50</v>
      </c>
      <c r="C25" s="183"/>
      <c r="E25" s="40" t="s">
        <v>87</v>
      </c>
      <c r="F25" s="40" t="s">
        <v>31</v>
      </c>
      <c r="G25" s="40" t="s">
        <v>32</v>
      </c>
      <c r="H25" s="40" t="s">
        <v>33</v>
      </c>
      <c r="I25" s="40" t="s">
        <v>34</v>
      </c>
      <c r="J25" s="40" t="s">
        <v>35</v>
      </c>
      <c r="L25" s="40" t="s">
        <v>87</v>
      </c>
      <c r="M25" s="40" t="s">
        <v>31</v>
      </c>
      <c r="N25" s="40" t="s">
        <v>32</v>
      </c>
      <c r="O25" s="40" t="s">
        <v>33</v>
      </c>
      <c r="P25" s="40" t="s">
        <v>34</v>
      </c>
      <c r="Q25" s="40" t="s">
        <v>35</v>
      </c>
    </row>
    <row r="26" spans="2:17" ht="15.75" customHeight="1" x14ac:dyDescent="0.3">
      <c r="B26" s="140" t="s">
        <v>51</v>
      </c>
      <c r="C26" s="83">
        <f>$C$17*ParaFiscales!C13</f>
        <v>583100</v>
      </c>
      <c r="E26" s="141" t="str">
        <f t="shared" ref="E26:E29" si="5">B5</f>
        <v>Director Tecnico</v>
      </c>
      <c r="F26" s="125">
        <f t="shared" ref="F26:F36" si="6">M5</f>
        <v>21600000</v>
      </c>
      <c r="G26" s="83">
        <f>(F26*'Datos Economicos'!D20)+F26</f>
        <v>22356000</v>
      </c>
      <c r="H26" s="83">
        <f>(G26*'Datos Economicos'!E20)+G26</f>
        <v>23138460</v>
      </c>
      <c r="I26" s="83">
        <f>(H26*'Datos Economicos'!F20)+H26</f>
        <v>23994583.02</v>
      </c>
      <c r="J26" s="83">
        <f>(I26*'Datos Economicos'!G20)+I26</f>
        <v>24762409.67664</v>
      </c>
      <c r="L26" s="141" t="str">
        <f t="shared" ref="L26:M26" si="7">B21</f>
        <v>SENA</v>
      </c>
      <c r="M26" s="125">
        <f t="shared" si="7"/>
        <v>140000</v>
      </c>
      <c r="N26" s="125">
        <f>(M26*'Datos Economicos'!$D$20)+M26</f>
        <v>144900</v>
      </c>
      <c r="O26" s="125">
        <f>(N26*'Datos Economicos'!$D$20)+N26</f>
        <v>149971.5</v>
      </c>
      <c r="P26" s="125">
        <f>(O26*'Datos Economicos'!$D$20)+O26</f>
        <v>155220.5025</v>
      </c>
      <c r="Q26" s="83">
        <f>(P26*'Datos Economicos'!$D$20)+P26</f>
        <v>160653.2200875</v>
      </c>
    </row>
    <row r="27" spans="2:17" ht="15.75" customHeight="1" x14ac:dyDescent="0.3">
      <c r="B27" s="142" t="s">
        <v>52</v>
      </c>
      <c r="C27" s="93">
        <f>$C$17*ParaFiscales!C14</f>
        <v>70000</v>
      </c>
      <c r="E27" s="143" t="str">
        <f t="shared" si="5"/>
        <v>Ditector Administrativo</v>
      </c>
      <c r="F27" s="130">
        <f t="shared" si="6"/>
        <v>21600000</v>
      </c>
      <c r="G27" s="93">
        <f>(F27*'Datos Economicos'!D20)+F27</f>
        <v>22356000</v>
      </c>
      <c r="H27" s="93">
        <f>(G27*'Datos Economicos'!E20)+G27</f>
        <v>23138460</v>
      </c>
      <c r="I27" s="93">
        <f>(H27*'Datos Economicos'!D20)+H27</f>
        <v>23948306.100000001</v>
      </c>
      <c r="J27" s="93">
        <f>(I27*'Datos Economicos'!D20)+I27</f>
        <v>24786496.813500002</v>
      </c>
      <c r="L27" s="143" t="str">
        <f t="shared" ref="L27:M27" si="8">B22</f>
        <v>ICBF</v>
      </c>
      <c r="M27" s="130">
        <f t="shared" si="8"/>
        <v>210000</v>
      </c>
      <c r="N27" s="130">
        <f>(M27*'Datos Economicos'!$D$20)+M27</f>
        <v>217350</v>
      </c>
      <c r="O27" s="130">
        <f>(N27*'Datos Economicos'!$D$20)+N27</f>
        <v>224957.25</v>
      </c>
      <c r="P27" s="130">
        <f>(O27*'Datos Economicos'!$D$20)+O27</f>
        <v>232830.75375</v>
      </c>
      <c r="Q27" s="93">
        <f>(P27*'Datos Economicos'!$D$20)+P27</f>
        <v>240979.83013125</v>
      </c>
    </row>
    <row r="28" spans="2:17" ht="15.75" customHeight="1" x14ac:dyDescent="0.3">
      <c r="B28" s="142" t="s">
        <v>53</v>
      </c>
      <c r="C28" s="93">
        <f>$C$17*ParaFiscales!C15</f>
        <v>583100</v>
      </c>
      <c r="E28" s="143" t="str">
        <f t="shared" si="5"/>
        <v>Programador Junior</v>
      </c>
      <c r="F28" s="130">
        <f t="shared" si="6"/>
        <v>19200000</v>
      </c>
      <c r="G28" s="93">
        <f>(F28*'Datos Economicos'!D22)+F28</f>
        <v>19891200</v>
      </c>
      <c r="H28" s="93">
        <f>(F28*'Datos Economicos'!E22)+F28</f>
        <v>19852800</v>
      </c>
      <c r="I28" s="93">
        <f>(F28*'Datos Economicos'!F22)+F28</f>
        <v>19814400</v>
      </c>
      <c r="J28" s="93">
        <f>(F28*'Datos Economicos'!G22)+F28</f>
        <v>19814400</v>
      </c>
      <c r="L28" s="143" t="str">
        <f t="shared" ref="L28:M28" si="9">B23</f>
        <v>Cajas</v>
      </c>
      <c r="M28" s="130">
        <f t="shared" si="9"/>
        <v>280000</v>
      </c>
      <c r="N28" s="130">
        <f>(M28*'Datos Economicos'!$D$20)+M28</f>
        <v>289800</v>
      </c>
      <c r="O28" s="130">
        <f>(N28*'Datos Economicos'!$D$20)+N28</f>
        <v>299943</v>
      </c>
      <c r="P28" s="130">
        <f>(O28*'Datos Economicos'!$D$20)+O28</f>
        <v>310441.005</v>
      </c>
      <c r="Q28" s="93">
        <f>(P28*'Datos Economicos'!$D$20)+P28</f>
        <v>321306.440175</v>
      </c>
    </row>
    <row r="29" spans="2:17" ht="15.75" customHeight="1" x14ac:dyDescent="0.3">
      <c r="B29" s="144" t="s">
        <v>54</v>
      </c>
      <c r="C29" s="145">
        <f>$C$17*ParaFiscales!C16</f>
        <v>291900</v>
      </c>
      <c r="E29" s="143">
        <f t="shared" si="5"/>
        <v>0</v>
      </c>
      <c r="F29" s="130">
        <f t="shared" si="6"/>
        <v>21600000</v>
      </c>
      <c r="G29" s="93">
        <f>(F29*'Datos Economicos'!D23)+F29</f>
        <v>21600000</v>
      </c>
      <c r="H29" s="93">
        <f>(F29*'Datos Economicos'!E23)+F29</f>
        <v>21600000</v>
      </c>
      <c r="I29" s="93">
        <f>(F29*'Datos Economicos'!F23)+F29</f>
        <v>21600000</v>
      </c>
      <c r="J29" s="93">
        <f>(F29*'Datos Economicos'!G23)+F29</f>
        <v>21600000</v>
      </c>
      <c r="L29" s="143" t="str">
        <f t="shared" ref="L29:M29" si="10">B26</f>
        <v>Cesantias</v>
      </c>
      <c r="M29" s="130">
        <f t="shared" si="10"/>
        <v>583100</v>
      </c>
      <c r="N29" s="130">
        <f>(M29*'Datos Economicos'!$D$20)+M29</f>
        <v>603508.5</v>
      </c>
      <c r="O29" s="130">
        <f>(N29*'Datos Economicos'!$D$20)+N29</f>
        <v>624631.29749999999</v>
      </c>
      <c r="P29" s="130">
        <f>(O29*'Datos Economicos'!$D$20)+O29</f>
        <v>646493.39291249996</v>
      </c>
      <c r="Q29" s="93">
        <f>(P29*'Datos Economicos'!$D$20)+P29</f>
        <v>669120.6616644375</v>
      </c>
    </row>
    <row r="30" spans="2:17" ht="15.75" customHeight="1" x14ac:dyDescent="0.3">
      <c r="B30" s="138" t="s">
        <v>49</v>
      </c>
      <c r="C30" s="146">
        <f>SUM(C26:C29)</f>
        <v>1528100</v>
      </c>
      <c r="E30" s="143"/>
      <c r="F30" s="130">
        <f t="shared" si="6"/>
        <v>0</v>
      </c>
      <c r="G30" s="93">
        <f>(F30*'Datos Economicos'!D24)+F30</f>
        <v>0</v>
      </c>
      <c r="H30" s="93">
        <f>(F30*'Datos Economicos'!E24)+F30</f>
        <v>0</v>
      </c>
      <c r="I30" s="93">
        <f>(F30*'Datos Economicos'!F24)+F30</f>
        <v>0</v>
      </c>
      <c r="J30" s="93">
        <f>(F30*'Datos Economicos'!G24)+F30</f>
        <v>0</v>
      </c>
      <c r="L30" s="143" t="str">
        <f t="shared" ref="L30:M30" si="11">B27</f>
        <v>Intereses a las Cesantias</v>
      </c>
      <c r="M30" s="130">
        <f t="shared" si="11"/>
        <v>70000</v>
      </c>
      <c r="N30" s="130">
        <f>(M30*'Datos Economicos'!$D$20)+M30</f>
        <v>72450</v>
      </c>
      <c r="O30" s="130">
        <f>(N30*'Datos Economicos'!$D$20)+N30</f>
        <v>74985.75</v>
      </c>
      <c r="P30" s="130">
        <f>(O30*'Datos Economicos'!$D$20)+O30</f>
        <v>77610.251250000001</v>
      </c>
      <c r="Q30" s="93">
        <f>(P30*'Datos Economicos'!$D$20)+P30</f>
        <v>80326.610043749999</v>
      </c>
    </row>
    <row r="31" spans="2:17" ht="15.75" customHeight="1" x14ac:dyDescent="0.3">
      <c r="B31" s="180" t="s">
        <v>55</v>
      </c>
      <c r="C31" s="181"/>
      <c r="E31" s="143"/>
      <c r="F31" s="130">
        <f t="shared" si="6"/>
        <v>0</v>
      </c>
      <c r="G31" s="93">
        <f>(F31*'Datos Economicos'!D25)+F31</f>
        <v>0</v>
      </c>
      <c r="H31" s="93">
        <f>(F31*'Datos Economicos'!E25)+F31</f>
        <v>0</v>
      </c>
      <c r="I31" s="93">
        <f>(F31*'Datos Economicos'!F25)+F31</f>
        <v>0</v>
      </c>
      <c r="J31" s="93">
        <f>(F31*'Datos Economicos'!G25)+F31</f>
        <v>0</v>
      </c>
      <c r="L31" s="143" t="str">
        <f t="shared" ref="L31:M31" si="12">B28</f>
        <v>Prima de Servicios</v>
      </c>
      <c r="M31" s="130">
        <f t="shared" si="12"/>
        <v>583100</v>
      </c>
      <c r="N31" s="130">
        <f>(M31*'Datos Economicos'!$D$20)+M31</f>
        <v>603508.5</v>
      </c>
      <c r="O31" s="130">
        <f>(N31*'Datos Economicos'!$D$20)+N31</f>
        <v>624631.29749999999</v>
      </c>
      <c r="P31" s="130">
        <f>(O31*'Datos Economicos'!$D$20)+O31</f>
        <v>646493.39291249996</v>
      </c>
      <c r="Q31" s="93">
        <f>(P31*'Datos Economicos'!$D$20)+P31</f>
        <v>669120.6616644375</v>
      </c>
    </row>
    <row r="32" spans="2:17" ht="15.75" customHeight="1" x14ac:dyDescent="0.3">
      <c r="B32" s="186" t="s">
        <v>56</v>
      </c>
      <c r="C32" s="181"/>
      <c r="E32" s="143"/>
      <c r="F32" s="130">
        <f t="shared" si="6"/>
        <v>0</v>
      </c>
      <c r="G32" s="93">
        <f>(F32*'Datos Economicos'!D26)+F32</f>
        <v>0</v>
      </c>
      <c r="H32" s="93">
        <f>(F32*'Datos Economicos'!E26)+F32</f>
        <v>0</v>
      </c>
      <c r="I32" s="93">
        <f>(F32*'Datos Economicos'!F26)+F32</f>
        <v>0</v>
      </c>
      <c r="J32" s="93">
        <f>(F32*'Datos Economicos'!G26)+F32</f>
        <v>0</v>
      </c>
      <c r="L32" s="143" t="str">
        <f t="shared" ref="L32:M32" si="13">B29</f>
        <v>Vacaciones</v>
      </c>
      <c r="M32" s="130">
        <f t="shared" si="13"/>
        <v>291900</v>
      </c>
      <c r="N32" s="130">
        <f>(M32*'Datos Economicos'!$D$20)+M32</f>
        <v>302116.5</v>
      </c>
      <c r="O32" s="130">
        <f>(N32*'Datos Economicos'!$D$20)+N32</f>
        <v>312690.57750000001</v>
      </c>
      <c r="P32" s="130">
        <f>(O32*'Datos Economicos'!$D$20)+O32</f>
        <v>323634.74771250004</v>
      </c>
      <c r="Q32" s="93">
        <f>(P32*'Datos Economicos'!$D$20)+P32</f>
        <v>334961.96388243756</v>
      </c>
    </row>
    <row r="33" spans="2:17" ht="15.75" customHeight="1" x14ac:dyDescent="0.3">
      <c r="B33" s="56" t="s">
        <v>57</v>
      </c>
      <c r="C33" s="83">
        <f>C17*ParaFiscales!C20</f>
        <v>595000</v>
      </c>
      <c r="E33" s="143"/>
      <c r="F33" s="130">
        <f t="shared" si="6"/>
        <v>0</v>
      </c>
      <c r="G33" s="93">
        <f>(F33*'Datos Economicos'!D27)+F33</f>
        <v>0</v>
      </c>
      <c r="H33" s="93">
        <f>(F33*'Datos Economicos'!E27)+F33</f>
        <v>0</v>
      </c>
      <c r="I33" s="93">
        <f>(F33*'Datos Economicos'!F27)+F33</f>
        <v>0</v>
      </c>
      <c r="J33" s="93">
        <f>(F33*'Datos Economicos'!G27)+F33</f>
        <v>0</v>
      </c>
      <c r="L33" s="143" t="str">
        <f>B32</f>
        <v>Salud</v>
      </c>
      <c r="M33" s="130">
        <f>C33</f>
        <v>595000</v>
      </c>
      <c r="N33" s="130">
        <f>(M33*'Datos Economicos'!$D$20)+M33</f>
        <v>615825</v>
      </c>
      <c r="O33" s="130">
        <f>(N33*'Datos Economicos'!$D$20)+N33</f>
        <v>637378.875</v>
      </c>
      <c r="P33" s="130">
        <f>(O33*'Datos Economicos'!$D$20)+O33</f>
        <v>659687.135625</v>
      </c>
      <c r="Q33" s="93">
        <f>(P33*'Datos Economicos'!$D$20)+P33</f>
        <v>682776.18537187495</v>
      </c>
    </row>
    <row r="34" spans="2:17" ht="15.75" customHeight="1" x14ac:dyDescent="0.3">
      <c r="B34" s="186" t="s">
        <v>59</v>
      </c>
      <c r="C34" s="181"/>
      <c r="E34" s="143"/>
      <c r="F34" s="130">
        <f t="shared" si="6"/>
        <v>0</v>
      </c>
      <c r="G34" s="93">
        <f>(F34*'Datos Economicos'!D28)+F34</f>
        <v>0</v>
      </c>
      <c r="H34" s="93">
        <f>(F34*'Datos Economicos'!E28)+F34</f>
        <v>0</v>
      </c>
      <c r="I34" s="93">
        <f>(F34*'Datos Economicos'!F28)+F34</f>
        <v>0</v>
      </c>
      <c r="J34" s="93">
        <f>(F34*'Datos Economicos'!G28)+F34</f>
        <v>0</v>
      </c>
      <c r="L34" s="143" t="str">
        <f>B34</f>
        <v>Pension</v>
      </c>
      <c r="M34" s="130">
        <f>C35</f>
        <v>840000</v>
      </c>
      <c r="N34" s="130">
        <f>(M34*'Datos Economicos'!$D$20)+M34</f>
        <v>869400</v>
      </c>
      <c r="O34" s="130">
        <f>(N34*'Datos Economicos'!$D$20)+N34</f>
        <v>899829</v>
      </c>
      <c r="P34" s="130">
        <f>(O34*'Datos Economicos'!$D$20)+O34</f>
        <v>931323.01500000001</v>
      </c>
      <c r="Q34" s="93">
        <f>(P34*'Datos Economicos'!$D$20)+P34</f>
        <v>963919.32052499999</v>
      </c>
    </row>
    <row r="35" spans="2:17" ht="15.75" customHeight="1" x14ac:dyDescent="0.3">
      <c r="B35" s="56" t="s">
        <v>57</v>
      </c>
      <c r="C35" s="83">
        <f>C17*ParaFiscales!C23</f>
        <v>840000</v>
      </c>
      <c r="E35" s="143"/>
      <c r="F35" s="130">
        <f t="shared" si="6"/>
        <v>0</v>
      </c>
      <c r="G35" s="93">
        <f>(F35*'Datos Economicos'!D29)+F35</f>
        <v>0</v>
      </c>
      <c r="H35" s="93">
        <f>(F35*'Datos Economicos'!E29)+F35</f>
        <v>0</v>
      </c>
      <c r="I35" s="93">
        <f>(F35*'Datos Economicos'!F29)+F35</f>
        <v>0</v>
      </c>
      <c r="J35" s="93">
        <f>(F35*'Datos Economicos'!G29)+F35</f>
        <v>0</v>
      </c>
      <c r="L35" s="143"/>
      <c r="M35" s="130">
        <f t="shared" ref="M35:M36" si="14">T14</f>
        <v>0</v>
      </c>
      <c r="N35" s="130">
        <f>(M35*'Datos Economicos'!K29)+M35</f>
        <v>0</v>
      </c>
      <c r="O35" s="130">
        <f>(M35*'Datos Economicos'!L29)+M35</f>
        <v>0</v>
      </c>
      <c r="P35" s="130">
        <f>(M35*'Datos Economicos'!M29)+M35</f>
        <v>0</v>
      </c>
      <c r="Q35" s="93">
        <f>(M35*'Datos Economicos'!N29)+M35</f>
        <v>0</v>
      </c>
    </row>
    <row r="36" spans="2:17" ht="15.75" customHeight="1" x14ac:dyDescent="0.3">
      <c r="B36" s="147" t="s">
        <v>24</v>
      </c>
      <c r="C36" s="148">
        <f>SUM(C24+C30+C33+C35)</f>
        <v>3593100</v>
      </c>
      <c r="E36" s="149"/>
      <c r="F36" s="130">
        <f t="shared" si="6"/>
        <v>0</v>
      </c>
      <c r="G36" s="93">
        <f>(F36*'Datos Economicos'!D30)+F36</f>
        <v>0</v>
      </c>
      <c r="H36" s="93">
        <f>(F36*'Datos Economicos'!E30)+F36</f>
        <v>0</v>
      </c>
      <c r="I36" s="93">
        <f>(F36*'Datos Economicos'!F30)+F36</f>
        <v>0</v>
      </c>
      <c r="J36" s="93">
        <f>(F36*'Datos Economicos'!G30)+F36</f>
        <v>0</v>
      </c>
      <c r="L36" s="150"/>
      <c r="M36" s="151">
        <f t="shared" si="14"/>
        <v>0</v>
      </c>
      <c r="N36" s="151">
        <f>(M36*'Datos Economicos'!K30)+M36</f>
        <v>0</v>
      </c>
      <c r="O36" s="151">
        <f>(M36*'Datos Economicos'!L30)+M36</f>
        <v>0</v>
      </c>
      <c r="P36" s="151">
        <f>(M36*'Datos Economicos'!M30)+M36</f>
        <v>0</v>
      </c>
      <c r="Q36" s="145">
        <f>(M36*'Datos Economicos'!N30)+M36</f>
        <v>0</v>
      </c>
    </row>
    <row r="37" spans="2:17" ht="15.75" customHeight="1" x14ac:dyDescent="0.3">
      <c r="E37" s="73" t="s">
        <v>49</v>
      </c>
      <c r="F37" s="114">
        <f t="shared" ref="F37:J37" si="15">SUM(F26:F36)</f>
        <v>84000000</v>
      </c>
      <c r="G37" s="114">
        <f t="shared" si="15"/>
        <v>86203200</v>
      </c>
      <c r="H37" s="114">
        <f t="shared" si="15"/>
        <v>87729720</v>
      </c>
      <c r="I37" s="114">
        <f t="shared" si="15"/>
        <v>89357289.120000005</v>
      </c>
      <c r="J37" s="114">
        <f t="shared" si="15"/>
        <v>90963306.490140006</v>
      </c>
      <c r="L37" s="113" t="s">
        <v>49</v>
      </c>
      <c r="M37" s="152">
        <f t="shared" ref="M37:Q37" si="16">SUM(M26:M36)</f>
        <v>3593100</v>
      </c>
      <c r="N37" s="152">
        <f t="shared" si="16"/>
        <v>3718858.5</v>
      </c>
      <c r="O37" s="152">
        <f t="shared" si="16"/>
        <v>3849018.5474999999</v>
      </c>
      <c r="P37" s="152">
        <f t="shared" si="16"/>
        <v>3983734.1966625</v>
      </c>
      <c r="Q37" s="152">
        <f t="shared" si="16"/>
        <v>4123164.8935456867</v>
      </c>
    </row>
    <row r="38" spans="2:17" ht="15.75" customHeight="1" x14ac:dyDescent="0.3"/>
    <row r="39" spans="2:17" ht="15.75" customHeight="1" x14ac:dyDescent="0.3"/>
    <row r="40" spans="2:17" ht="15.75" customHeight="1" x14ac:dyDescent="0.3"/>
    <row r="41" spans="2:17" ht="15.75" customHeight="1" x14ac:dyDescent="0.3"/>
    <row r="42" spans="2:17" ht="15.75" customHeight="1" x14ac:dyDescent="0.3"/>
    <row r="43" spans="2:17" ht="15.75" customHeight="1" x14ac:dyDescent="0.3"/>
    <row r="44" spans="2:17" ht="15.75" customHeight="1" x14ac:dyDescent="0.3"/>
    <row r="45" spans="2:17" ht="15.75" customHeight="1" x14ac:dyDescent="0.3"/>
    <row r="46" spans="2:17" ht="15.75" customHeight="1" x14ac:dyDescent="0.3"/>
    <row r="47" spans="2:17" ht="15.75" customHeight="1" x14ac:dyDescent="0.3"/>
    <row r="48" spans="2:1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2">
    <mergeCell ref="E24:J24"/>
    <mergeCell ref="L24:Q24"/>
    <mergeCell ref="B3:D3"/>
    <mergeCell ref="E3:G3"/>
    <mergeCell ref="H3:J3"/>
    <mergeCell ref="M3:M4"/>
    <mergeCell ref="E19:H19"/>
    <mergeCell ref="B20:C20"/>
    <mergeCell ref="B25:C25"/>
    <mergeCell ref="B31:C31"/>
    <mergeCell ref="B32:C32"/>
    <mergeCell ref="B34:C34"/>
  </mergeCell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H1000"/>
  <sheetViews>
    <sheetView workbookViewId="0"/>
  </sheetViews>
  <sheetFormatPr baseColWidth="10" defaultColWidth="14.44140625" defaultRowHeight="15" customHeight="1" x14ac:dyDescent="0.3"/>
  <cols>
    <col min="1" max="2" width="11.44140625" customWidth="1"/>
    <col min="3" max="3" width="32.33203125" customWidth="1"/>
    <col min="4" max="4" width="23" customWidth="1"/>
    <col min="5" max="5" width="30.33203125" customWidth="1"/>
    <col min="6" max="6" width="25" customWidth="1"/>
    <col min="7" max="7" width="24.6640625" customWidth="1"/>
    <col min="8" max="8" width="22.6640625" customWidth="1"/>
    <col min="9" max="26" width="11.44140625" customWidth="1"/>
  </cols>
  <sheetData>
    <row r="3" spans="3:6" ht="14.4" x14ac:dyDescent="0.3">
      <c r="C3" s="185" t="s">
        <v>98</v>
      </c>
      <c r="D3" s="184"/>
      <c r="E3" s="184"/>
      <c r="F3" s="181"/>
    </row>
    <row r="4" spans="3:6" ht="14.4" x14ac:dyDescent="0.3">
      <c r="C4" s="40" t="s">
        <v>63</v>
      </c>
      <c r="D4" s="40" t="s">
        <v>65</v>
      </c>
      <c r="E4" s="40" t="s">
        <v>99</v>
      </c>
      <c r="F4" s="40" t="s">
        <v>100</v>
      </c>
    </row>
    <row r="5" spans="3:6" ht="14.4" x14ac:dyDescent="0.3">
      <c r="C5" s="76" t="s">
        <v>101</v>
      </c>
      <c r="D5" s="42">
        <v>800000</v>
      </c>
      <c r="E5" s="83">
        <f t="shared" ref="E5:E15" si="0">D5</f>
        <v>800000</v>
      </c>
      <c r="F5" s="83">
        <f t="shared" ref="F5:F15" si="1">E5*12</f>
        <v>9600000</v>
      </c>
    </row>
    <row r="6" spans="3:6" ht="14.4" x14ac:dyDescent="0.3">
      <c r="C6" s="31" t="s">
        <v>102</v>
      </c>
      <c r="D6" s="45">
        <v>200000</v>
      </c>
      <c r="E6" s="93">
        <f t="shared" si="0"/>
        <v>200000</v>
      </c>
      <c r="F6" s="93">
        <f t="shared" si="1"/>
        <v>2400000</v>
      </c>
    </row>
    <row r="7" spans="3:6" ht="14.4" x14ac:dyDescent="0.3">
      <c r="C7" s="31" t="s">
        <v>103</v>
      </c>
      <c r="D7" s="45">
        <v>80000</v>
      </c>
      <c r="E7" s="93">
        <f t="shared" si="0"/>
        <v>80000</v>
      </c>
      <c r="F7" s="93">
        <f t="shared" si="1"/>
        <v>960000</v>
      </c>
    </row>
    <row r="8" spans="3:6" ht="14.4" x14ac:dyDescent="0.3">
      <c r="C8" s="31" t="s">
        <v>104</v>
      </c>
      <c r="D8" s="45">
        <v>50000</v>
      </c>
      <c r="E8" s="93">
        <f t="shared" si="0"/>
        <v>50000</v>
      </c>
      <c r="F8" s="93">
        <f t="shared" si="1"/>
        <v>600000</v>
      </c>
    </row>
    <row r="9" spans="3:6" ht="14.4" x14ac:dyDescent="0.3">
      <c r="C9" s="31" t="s">
        <v>105</v>
      </c>
      <c r="D9" s="45">
        <v>90000</v>
      </c>
      <c r="E9" s="93">
        <f t="shared" si="0"/>
        <v>90000</v>
      </c>
      <c r="F9" s="93">
        <f t="shared" si="1"/>
        <v>1080000</v>
      </c>
    </row>
    <row r="10" spans="3:6" ht="14.4" x14ac:dyDescent="0.3">
      <c r="C10" s="31" t="s">
        <v>106</v>
      </c>
      <c r="D10" s="45">
        <v>120000</v>
      </c>
      <c r="E10" s="93">
        <f t="shared" si="0"/>
        <v>120000</v>
      </c>
      <c r="F10" s="93">
        <f t="shared" si="1"/>
        <v>1440000</v>
      </c>
    </row>
    <row r="11" spans="3:6" ht="14.4" x14ac:dyDescent="0.3">
      <c r="C11" s="31"/>
      <c r="D11" s="45"/>
      <c r="E11" s="93">
        <f t="shared" si="0"/>
        <v>0</v>
      </c>
      <c r="F11" s="93">
        <f t="shared" si="1"/>
        <v>0</v>
      </c>
    </row>
    <row r="12" spans="3:6" ht="14.4" x14ac:dyDescent="0.3">
      <c r="C12" s="31"/>
      <c r="D12" s="45"/>
      <c r="E12" s="93">
        <f t="shared" si="0"/>
        <v>0</v>
      </c>
      <c r="F12" s="93">
        <f t="shared" si="1"/>
        <v>0</v>
      </c>
    </row>
    <row r="13" spans="3:6" ht="14.4" x14ac:dyDescent="0.3">
      <c r="C13" s="31"/>
      <c r="D13" s="45"/>
      <c r="E13" s="93">
        <f t="shared" si="0"/>
        <v>0</v>
      </c>
      <c r="F13" s="93">
        <f t="shared" si="1"/>
        <v>0</v>
      </c>
    </row>
    <row r="14" spans="3:6" ht="14.4" x14ac:dyDescent="0.3">
      <c r="C14" s="31"/>
      <c r="D14" s="45"/>
      <c r="E14" s="93">
        <f t="shared" si="0"/>
        <v>0</v>
      </c>
      <c r="F14" s="93">
        <f t="shared" si="1"/>
        <v>0</v>
      </c>
    </row>
    <row r="15" spans="3:6" ht="14.4" x14ac:dyDescent="0.3">
      <c r="C15" s="131"/>
      <c r="D15" s="133"/>
      <c r="E15" s="93">
        <f t="shared" si="0"/>
        <v>0</v>
      </c>
      <c r="F15" s="93">
        <f t="shared" si="1"/>
        <v>0</v>
      </c>
    </row>
    <row r="16" spans="3:6" ht="14.4" x14ac:dyDescent="0.3">
      <c r="C16" s="73" t="s">
        <v>49</v>
      </c>
      <c r="D16" s="114">
        <f t="shared" ref="D16:F16" si="2">SUM(D5:D15)</f>
        <v>1340000</v>
      </c>
      <c r="E16" s="114">
        <f t="shared" si="2"/>
        <v>1340000</v>
      </c>
      <c r="F16" s="114">
        <f t="shared" si="2"/>
        <v>16080000</v>
      </c>
    </row>
    <row r="18" spans="3:8" ht="14.4" x14ac:dyDescent="0.3">
      <c r="C18" s="180" t="s">
        <v>107</v>
      </c>
      <c r="D18" s="184"/>
      <c r="E18" s="184"/>
      <c r="F18" s="184"/>
      <c r="G18" s="184"/>
      <c r="H18" s="181"/>
    </row>
    <row r="19" spans="3:8" ht="14.4" x14ac:dyDescent="0.3">
      <c r="C19" s="40" t="s">
        <v>63</v>
      </c>
      <c r="D19" s="40" t="s">
        <v>31</v>
      </c>
      <c r="E19" s="40" t="s">
        <v>32</v>
      </c>
      <c r="F19" s="40" t="s">
        <v>33</v>
      </c>
      <c r="G19" s="40" t="s">
        <v>34</v>
      </c>
      <c r="H19" s="40" t="s">
        <v>35</v>
      </c>
    </row>
    <row r="20" spans="3:8" ht="14.4" x14ac:dyDescent="0.3">
      <c r="C20" s="141" t="str">
        <f t="shared" ref="C20:C26" si="3">C5</f>
        <v>Arrendamiento</v>
      </c>
      <c r="D20" s="83">
        <f t="shared" ref="D20:D26" si="4">F5</f>
        <v>9600000</v>
      </c>
      <c r="E20" s="124">
        <f>(D20*'Datos Economicos'!$E$20)+D20</f>
        <v>9936000</v>
      </c>
      <c r="F20" s="125">
        <f>(E20*'Datos Economicos'!$F$20)+E20</f>
        <v>10303632</v>
      </c>
      <c r="G20" s="125">
        <f>(F20*'Datos Economicos'!$G$20)+F20</f>
        <v>10633348.223999999</v>
      </c>
      <c r="H20" s="83">
        <f>(G20*'Datos Economicos'!$H$20)+G20</f>
        <v>10962982.018943999</v>
      </c>
    </row>
    <row r="21" spans="3:8" ht="15.75" customHeight="1" x14ac:dyDescent="0.3">
      <c r="C21" s="143" t="str">
        <f t="shared" si="3"/>
        <v>Servicios Publicos</v>
      </c>
      <c r="D21" s="93">
        <f t="shared" si="4"/>
        <v>2400000</v>
      </c>
      <c r="E21" s="129">
        <f>(D21*'Datos Economicos'!$E$20)+D21</f>
        <v>2484000</v>
      </c>
      <c r="F21" s="130">
        <f>(E21*'Datos Economicos'!$F$20)+E21</f>
        <v>2575908</v>
      </c>
      <c r="G21" s="130">
        <f>(F21*'Datos Economicos'!$G$20)+F21</f>
        <v>2658337.0559999999</v>
      </c>
      <c r="H21" s="93">
        <f>(G21*'Datos Economicos'!$H$20)+G21</f>
        <v>2740745.5047359997</v>
      </c>
    </row>
    <row r="22" spans="3:8" ht="15.75" customHeight="1" x14ac:dyDescent="0.3">
      <c r="C22" s="143" t="str">
        <f t="shared" si="3"/>
        <v>Suministros de Oficina</v>
      </c>
      <c r="D22" s="93">
        <f t="shared" si="4"/>
        <v>960000</v>
      </c>
      <c r="E22" s="129">
        <f>(D22*'Datos Economicos'!$E$20)+D22</f>
        <v>993600</v>
      </c>
      <c r="F22" s="130">
        <f>(E22*'Datos Economicos'!$F$20)+E22</f>
        <v>1030363.2</v>
      </c>
      <c r="G22" s="130">
        <f>(F22*'Datos Economicos'!$G$20)+F22</f>
        <v>1063334.8223999999</v>
      </c>
      <c r="H22" s="93">
        <f>(G22*'Datos Economicos'!$H$20)+G22</f>
        <v>1096298.2018943999</v>
      </c>
    </row>
    <row r="23" spans="3:8" ht="15.75" customHeight="1" x14ac:dyDescent="0.3">
      <c r="C23" s="143" t="str">
        <f t="shared" si="3"/>
        <v>Aseo e Higiene</v>
      </c>
      <c r="D23" s="93">
        <f t="shared" si="4"/>
        <v>600000</v>
      </c>
      <c r="E23" s="129">
        <f>(D23*'Datos Economicos'!$E$20)+D23</f>
        <v>621000</v>
      </c>
      <c r="F23" s="130">
        <f>(E23*'Datos Economicos'!$F$20)+E23</f>
        <v>643977</v>
      </c>
      <c r="G23" s="130">
        <f>(F23*'Datos Economicos'!$G$20)+F23</f>
        <v>664584.26399999997</v>
      </c>
      <c r="H23" s="93">
        <f>(G23*'Datos Economicos'!$H$20)+G23</f>
        <v>685186.37618399994</v>
      </c>
    </row>
    <row r="24" spans="3:8" ht="15.75" customHeight="1" x14ac:dyDescent="0.3">
      <c r="C24" s="143" t="str">
        <f t="shared" si="3"/>
        <v>Telefonia</v>
      </c>
      <c r="D24" s="93">
        <f t="shared" si="4"/>
        <v>1080000</v>
      </c>
      <c r="E24" s="129">
        <f>(D24*'Datos Economicos'!$E$20)+D24</f>
        <v>1117800</v>
      </c>
      <c r="F24" s="130">
        <f>(E24*'Datos Economicos'!$F$20)+E24</f>
        <v>1159158.6000000001</v>
      </c>
      <c r="G24" s="130">
        <f>(F24*'Datos Economicos'!$G$20)+F24</f>
        <v>1196251.6752000002</v>
      </c>
      <c r="H24" s="93">
        <f>(G24*'Datos Economicos'!$H$20)+G24</f>
        <v>1233335.4771312003</v>
      </c>
    </row>
    <row r="25" spans="3:8" ht="15.75" customHeight="1" x14ac:dyDescent="0.3">
      <c r="C25" s="143" t="str">
        <f t="shared" si="3"/>
        <v>Internet</v>
      </c>
      <c r="D25" s="93">
        <f t="shared" si="4"/>
        <v>1440000</v>
      </c>
      <c r="E25" s="129">
        <f>(D25*'Datos Economicos'!$E$20)+D25</f>
        <v>1490400</v>
      </c>
      <c r="F25" s="130">
        <f>(E25*'Datos Economicos'!$F$20)+E25</f>
        <v>1545544.8</v>
      </c>
      <c r="G25" s="130">
        <f>(F25*'Datos Economicos'!$G$20)+F25</f>
        <v>1595002.2336000002</v>
      </c>
      <c r="H25" s="93">
        <f>(G25*'Datos Economicos'!$H$20)+G25</f>
        <v>1644447.3028416003</v>
      </c>
    </row>
    <row r="26" spans="3:8" ht="15.75" customHeight="1" x14ac:dyDescent="0.3">
      <c r="C26" s="143">
        <f t="shared" si="3"/>
        <v>0</v>
      </c>
      <c r="D26" s="93">
        <f t="shared" si="4"/>
        <v>0</v>
      </c>
      <c r="E26" s="129">
        <f>(D26*'Datos Economicos'!$E$20)+D26</f>
        <v>0</v>
      </c>
      <c r="F26" s="130">
        <f>(E26*'Datos Economicos'!$F$20)+E26</f>
        <v>0</v>
      </c>
      <c r="G26" s="130">
        <f>(F26*'Datos Economicos'!$G$20)+F26</f>
        <v>0</v>
      </c>
      <c r="H26" s="93">
        <f>(G26*'Datos Economicos'!$H$20)+G26</f>
        <v>0</v>
      </c>
    </row>
    <row r="27" spans="3:8" ht="15.75" customHeight="1" x14ac:dyDescent="0.3">
      <c r="C27" s="143"/>
      <c r="D27" s="93"/>
      <c r="E27" s="129"/>
      <c r="F27" s="130"/>
      <c r="G27" s="130"/>
      <c r="H27" s="93"/>
    </row>
    <row r="28" spans="3:8" ht="15.75" customHeight="1" x14ac:dyDescent="0.3">
      <c r="C28" s="143"/>
      <c r="D28" s="93"/>
      <c r="E28" s="129"/>
      <c r="F28" s="130"/>
      <c r="G28" s="130"/>
      <c r="H28" s="93"/>
    </row>
    <row r="29" spans="3:8" ht="15.75" customHeight="1" x14ac:dyDescent="0.3">
      <c r="C29" s="143"/>
      <c r="D29" s="93"/>
      <c r="E29" s="129"/>
      <c r="F29" s="130"/>
      <c r="G29" s="130"/>
      <c r="H29" s="93"/>
    </row>
    <row r="30" spans="3:8" ht="15.75" customHeight="1" x14ac:dyDescent="0.3">
      <c r="C30" s="150"/>
      <c r="D30" s="145"/>
      <c r="E30" s="153"/>
      <c r="F30" s="151"/>
      <c r="G30" s="151"/>
      <c r="H30" s="145"/>
    </row>
    <row r="31" spans="3:8" ht="15.75" customHeight="1" x14ac:dyDescent="0.3">
      <c r="C31" s="113" t="s">
        <v>49</v>
      </c>
      <c r="D31" s="152">
        <f t="shared" ref="D31:H31" si="5">SUM(D20:D30)</f>
        <v>16080000</v>
      </c>
      <c r="E31" s="152">
        <f t="shared" si="5"/>
        <v>16642800</v>
      </c>
      <c r="F31" s="152">
        <f t="shared" si="5"/>
        <v>17258583.599999998</v>
      </c>
      <c r="G31" s="152">
        <f t="shared" si="5"/>
        <v>17810858.275200002</v>
      </c>
      <c r="H31" s="152">
        <f t="shared" si="5"/>
        <v>18362994.881731201</v>
      </c>
    </row>
    <row r="32" spans="3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C3:F3"/>
    <mergeCell ref="C18:H18"/>
  </mergeCells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H1000"/>
  <sheetViews>
    <sheetView workbookViewId="0"/>
  </sheetViews>
  <sheetFormatPr baseColWidth="10" defaultColWidth="14.44140625" defaultRowHeight="15" customHeight="1" x14ac:dyDescent="0.3"/>
  <cols>
    <col min="1" max="2" width="11.44140625" customWidth="1"/>
    <col min="3" max="3" width="23" customWidth="1"/>
    <col min="4" max="4" width="17.88671875" customWidth="1"/>
    <col min="5" max="5" width="21.33203125" customWidth="1"/>
    <col min="6" max="6" width="22" customWidth="1"/>
    <col min="7" max="7" width="18.5546875" customWidth="1"/>
    <col min="8" max="8" width="19.5546875" customWidth="1"/>
    <col min="9" max="26" width="11.44140625" customWidth="1"/>
  </cols>
  <sheetData>
    <row r="3" spans="3:6" ht="14.4" x14ac:dyDescent="0.3">
      <c r="C3" s="185" t="s">
        <v>98</v>
      </c>
      <c r="D3" s="184"/>
      <c r="E3" s="184"/>
      <c r="F3" s="181"/>
    </row>
    <row r="4" spans="3:6" ht="14.4" x14ac:dyDescent="0.3">
      <c r="C4" s="40" t="s">
        <v>63</v>
      </c>
      <c r="D4" s="40" t="s">
        <v>65</v>
      </c>
      <c r="E4" s="40" t="s">
        <v>99</v>
      </c>
      <c r="F4" s="40" t="s">
        <v>100</v>
      </c>
    </row>
    <row r="5" spans="3:6" ht="14.4" x14ac:dyDescent="0.3">
      <c r="C5" s="76"/>
      <c r="D5" s="42"/>
      <c r="E5" s="83">
        <f t="shared" ref="E5:E15" si="0">D5</f>
        <v>0</v>
      </c>
      <c r="F5" s="83">
        <f t="shared" ref="F5:F15" si="1">E5*12</f>
        <v>0</v>
      </c>
    </row>
    <row r="6" spans="3:6" ht="14.4" x14ac:dyDescent="0.3">
      <c r="C6" s="31"/>
      <c r="D6" s="45"/>
      <c r="E6" s="93">
        <f t="shared" si="0"/>
        <v>0</v>
      </c>
      <c r="F6" s="93">
        <f t="shared" si="1"/>
        <v>0</v>
      </c>
    </row>
    <row r="7" spans="3:6" ht="14.4" x14ac:dyDescent="0.3">
      <c r="C7" s="31"/>
      <c r="D7" s="45"/>
      <c r="E7" s="93">
        <f t="shared" si="0"/>
        <v>0</v>
      </c>
      <c r="F7" s="93">
        <f t="shared" si="1"/>
        <v>0</v>
      </c>
    </row>
    <row r="8" spans="3:6" ht="14.4" x14ac:dyDescent="0.3">
      <c r="C8" s="31"/>
      <c r="D8" s="45"/>
      <c r="E8" s="93">
        <f t="shared" si="0"/>
        <v>0</v>
      </c>
      <c r="F8" s="93">
        <f t="shared" si="1"/>
        <v>0</v>
      </c>
    </row>
    <row r="9" spans="3:6" ht="14.4" x14ac:dyDescent="0.3">
      <c r="C9" s="31"/>
      <c r="D9" s="45"/>
      <c r="E9" s="93">
        <f t="shared" si="0"/>
        <v>0</v>
      </c>
      <c r="F9" s="93">
        <f t="shared" si="1"/>
        <v>0</v>
      </c>
    </row>
    <row r="10" spans="3:6" ht="14.4" x14ac:dyDescent="0.3">
      <c r="C10" s="31"/>
      <c r="D10" s="45"/>
      <c r="E10" s="93">
        <f t="shared" si="0"/>
        <v>0</v>
      </c>
      <c r="F10" s="93">
        <f t="shared" si="1"/>
        <v>0</v>
      </c>
    </row>
    <row r="11" spans="3:6" ht="14.4" x14ac:dyDescent="0.3">
      <c r="C11" s="31"/>
      <c r="D11" s="45"/>
      <c r="E11" s="93">
        <f t="shared" si="0"/>
        <v>0</v>
      </c>
      <c r="F11" s="93">
        <f t="shared" si="1"/>
        <v>0</v>
      </c>
    </row>
    <row r="12" spans="3:6" ht="14.4" x14ac:dyDescent="0.3">
      <c r="C12" s="31"/>
      <c r="D12" s="45"/>
      <c r="E12" s="93">
        <f t="shared" si="0"/>
        <v>0</v>
      </c>
      <c r="F12" s="93">
        <f t="shared" si="1"/>
        <v>0</v>
      </c>
    </row>
    <row r="13" spans="3:6" ht="14.4" x14ac:dyDescent="0.3">
      <c r="C13" s="31"/>
      <c r="D13" s="45"/>
      <c r="E13" s="93">
        <f t="shared" si="0"/>
        <v>0</v>
      </c>
      <c r="F13" s="93">
        <f t="shared" si="1"/>
        <v>0</v>
      </c>
    </row>
    <row r="14" spans="3:6" ht="14.4" x14ac:dyDescent="0.3">
      <c r="C14" s="31"/>
      <c r="D14" s="45"/>
      <c r="E14" s="93">
        <f t="shared" si="0"/>
        <v>0</v>
      </c>
      <c r="F14" s="93">
        <f t="shared" si="1"/>
        <v>0</v>
      </c>
    </row>
    <row r="15" spans="3:6" ht="14.4" x14ac:dyDescent="0.3">
      <c r="C15" s="131"/>
      <c r="D15" s="133"/>
      <c r="E15" s="93">
        <f t="shared" si="0"/>
        <v>0</v>
      </c>
      <c r="F15" s="93">
        <f t="shared" si="1"/>
        <v>0</v>
      </c>
    </row>
    <row r="16" spans="3:6" ht="14.4" x14ac:dyDescent="0.3">
      <c r="C16" s="73" t="s">
        <v>49</v>
      </c>
      <c r="D16" s="114">
        <f t="shared" ref="D16:F16" si="2">SUM(D5:D15)</f>
        <v>0</v>
      </c>
      <c r="E16" s="114">
        <f t="shared" si="2"/>
        <v>0</v>
      </c>
      <c r="F16" s="114">
        <f t="shared" si="2"/>
        <v>0</v>
      </c>
    </row>
    <row r="18" spans="3:8" ht="14.4" x14ac:dyDescent="0.3">
      <c r="C18" s="180" t="s">
        <v>108</v>
      </c>
      <c r="D18" s="184"/>
      <c r="E18" s="184"/>
      <c r="F18" s="184"/>
      <c r="G18" s="184"/>
      <c r="H18" s="181"/>
    </row>
    <row r="19" spans="3:8" ht="14.4" x14ac:dyDescent="0.3">
      <c r="C19" s="40" t="s">
        <v>63</v>
      </c>
      <c r="D19" s="40" t="s">
        <v>31</v>
      </c>
      <c r="E19" s="40" t="s">
        <v>32</v>
      </c>
      <c r="F19" s="40" t="s">
        <v>33</v>
      </c>
      <c r="G19" s="40" t="s">
        <v>34</v>
      </c>
      <c r="H19" s="40" t="s">
        <v>35</v>
      </c>
    </row>
    <row r="20" spans="3:8" ht="14.4" x14ac:dyDescent="0.3">
      <c r="C20" s="141">
        <f t="shared" ref="C20:C22" si="3">C5</f>
        <v>0</v>
      </c>
      <c r="D20" s="83">
        <f t="shared" ref="D20:D22" si="4">F5</f>
        <v>0</v>
      </c>
      <c r="E20" s="124">
        <f>(D20*'Datos Economicos'!$E$20)+D20</f>
        <v>0</v>
      </c>
      <c r="F20" s="125">
        <f>(E20*'Datos Economicos'!$F$20)+E20</f>
        <v>0</v>
      </c>
      <c r="G20" s="125">
        <f>(F20*'Datos Economicos'!$G$20)+F20</f>
        <v>0</v>
      </c>
      <c r="H20" s="83">
        <f>(G20*'Datos Economicos'!$H$20)+G20</f>
        <v>0</v>
      </c>
    </row>
    <row r="21" spans="3:8" ht="15.75" customHeight="1" x14ac:dyDescent="0.3">
      <c r="C21" s="143">
        <f t="shared" si="3"/>
        <v>0</v>
      </c>
      <c r="D21" s="93">
        <f t="shared" si="4"/>
        <v>0</v>
      </c>
      <c r="E21" s="129">
        <f>(D21*'Datos Economicos'!$E$20)+D21</f>
        <v>0</v>
      </c>
      <c r="F21" s="130">
        <f>(E21*'Datos Economicos'!$F$20)+E21</f>
        <v>0</v>
      </c>
      <c r="G21" s="130">
        <f>(F21*'Datos Economicos'!$G$20)+F21</f>
        <v>0</v>
      </c>
      <c r="H21" s="93">
        <f>(G21*'Datos Economicos'!$H$20)+G21</f>
        <v>0</v>
      </c>
    </row>
    <row r="22" spans="3:8" ht="15.75" customHeight="1" x14ac:dyDescent="0.3">
      <c r="C22" s="143">
        <f t="shared" si="3"/>
        <v>0</v>
      </c>
      <c r="D22" s="93">
        <f t="shared" si="4"/>
        <v>0</v>
      </c>
      <c r="E22" s="129">
        <f>(D22*'Datos Economicos'!$E$20)+D22</f>
        <v>0</v>
      </c>
      <c r="F22" s="130">
        <f>(E22*'Datos Economicos'!$F$20)+E22</f>
        <v>0</v>
      </c>
      <c r="G22" s="130">
        <f>(F22*'Datos Economicos'!$G$20)+F22</f>
        <v>0</v>
      </c>
      <c r="H22" s="93">
        <f>(G22*'Datos Economicos'!$H$20)+G22</f>
        <v>0</v>
      </c>
    </row>
    <row r="23" spans="3:8" ht="15.75" customHeight="1" x14ac:dyDescent="0.3">
      <c r="C23" s="143"/>
      <c r="D23" s="93"/>
      <c r="E23" s="129"/>
      <c r="F23" s="130"/>
      <c r="G23" s="130"/>
      <c r="H23" s="93"/>
    </row>
    <row r="24" spans="3:8" ht="15.75" customHeight="1" x14ac:dyDescent="0.3">
      <c r="C24" s="143"/>
      <c r="D24" s="93"/>
      <c r="E24" s="129"/>
      <c r="F24" s="130"/>
      <c r="G24" s="130"/>
      <c r="H24" s="93"/>
    </row>
    <row r="25" spans="3:8" ht="15.75" customHeight="1" x14ac:dyDescent="0.3">
      <c r="C25" s="143"/>
      <c r="D25" s="93"/>
      <c r="E25" s="129"/>
      <c r="F25" s="130"/>
      <c r="G25" s="130"/>
      <c r="H25" s="93"/>
    </row>
    <row r="26" spans="3:8" ht="15.75" customHeight="1" x14ac:dyDescent="0.3">
      <c r="C26" s="143"/>
      <c r="D26" s="93"/>
      <c r="E26" s="129"/>
      <c r="F26" s="130"/>
      <c r="G26" s="130"/>
      <c r="H26" s="93"/>
    </row>
    <row r="27" spans="3:8" ht="15.75" customHeight="1" x14ac:dyDescent="0.3">
      <c r="C27" s="143"/>
      <c r="D27" s="93"/>
      <c r="E27" s="129"/>
      <c r="F27" s="130"/>
      <c r="G27" s="130"/>
      <c r="H27" s="93"/>
    </row>
    <row r="28" spans="3:8" ht="15.75" customHeight="1" x14ac:dyDescent="0.3">
      <c r="C28" s="143"/>
      <c r="D28" s="93"/>
      <c r="E28" s="129"/>
      <c r="F28" s="130"/>
      <c r="G28" s="130"/>
      <c r="H28" s="93"/>
    </row>
    <row r="29" spans="3:8" ht="15.75" customHeight="1" x14ac:dyDescent="0.3">
      <c r="C29" s="143"/>
      <c r="D29" s="93"/>
      <c r="E29" s="129"/>
      <c r="F29" s="130"/>
      <c r="G29" s="130"/>
      <c r="H29" s="93"/>
    </row>
    <row r="30" spans="3:8" ht="15.75" customHeight="1" x14ac:dyDescent="0.3">
      <c r="C30" s="150"/>
      <c r="D30" s="145"/>
      <c r="E30" s="153"/>
      <c r="F30" s="151"/>
      <c r="G30" s="151"/>
      <c r="H30" s="145"/>
    </row>
    <row r="31" spans="3:8" ht="15.75" customHeight="1" x14ac:dyDescent="0.3">
      <c r="C31" s="113" t="s">
        <v>49</v>
      </c>
      <c r="D31" s="152">
        <f t="shared" ref="D31:H31" si="5">SUM(D20:D30)</f>
        <v>0</v>
      </c>
      <c r="E31" s="152">
        <f t="shared" si="5"/>
        <v>0</v>
      </c>
      <c r="F31" s="152">
        <f t="shared" si="5"/>
        <v>0</v>
      </c>
      <c r="G31" s="152">
        <f t="shared" si="5"/>
        <v>0</v>
      </c>
      <c r="H31" s="152">
        <f t="shared" si="5"/>
        <v>0</v>
      </c>
    </row>
    <row r="32" spans="3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C3:F3"/>
    <mergeCell ref="C18:H18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1000"/>
  <sheetViews>
    <sheetView workbookViewId="0"/>
  </sheetViews>
  <sheetFormatPr baseColWidth="10" defaultColWidth="14.44140625" defaultRowHeight="15" customHeight="1" x14ac:dyDescent="0.3"/>
  <cols>
    <col min="1" max="1" width="11.44140625" customWidth="1"/>
    <col min="2" max="2" width="45" customWidth="1"/>
    <col min="3" max="3" width="22.44140625" customWidth="1"/>
    <col min="4" max="4" width="21.109375" customWidth="1"/>
    <col min="5" max="5" width="21.6640625" customWidth="1"/>
    <col min="6" max="6" width="21" customWidth="1"/>
    <col min="7" max="7" width="17" customWidth="1"/>
    <col min="8" max="8" width="20.33203125" customWidth="1"/>
    <col min="9" max="26" width="11.44140625" customWidth="1"/>
  </cols>
  <sheetData>
    <row r="2" spans="2:8" ht="14.4" x14ac:dyDescent="0.3">
      <c r="B2" s="38" t="s">
        <v>17</v>
      </c>
      <c r="C2" s="193" t="str">
        <f>'Estructura de Mercado'!B8</f>
        <v>Asistnte</v>
      </c>
      <c r="D2" s="184"/>
      <c r="E2" s="184"/>
      <c r="F2" s="184"/>
      <c r="G2" s="184"/>
      <c r="H2" s="181"/>
    </row>
    <row r="4" spans="2:8" ht="14.4" x14ac:dyDescent="0.3">
      <c r="B4" s="180" t="s">
        <v>109</v>
      </c>
      <c r="C4" s="184"/>
      <c r="D4" s="184"/>
      <c r="E4" s="184"/>
      <c r="F4" s="184"/>
      <c r="G4" s="184"/>
      <c r="H4" s="181"/>
    </row>
    <row r="5" spans="2:8" ht="14.4" x14ac:dyDescent="0.3">
      <c r="B5" s="38" t="s">
        <v>63</v>
      </c>
      <c r="C5" s="38" t="s">
        <v>110</v>
      </c>
      <c r="D5" s="38" t="s">
        <v>31</v>
      </c>
      <c r="E5" s="38" t="s">
        <v>32</v>
      </c>
      <c r="F5" s="38" t="s">
        <v>33</v>
      </c>
      <c r="G5" s="38" t="s">
        <v>34</v>
      </c>
      <c r="H5" s="38" t="s">
        <v>35</v>
      </c>
    </row>
    <row r="6" spans="2:8" ht="14.4" x14ac:dyDescent="0.3">
      <c r="B6" s="154" t="s">
        <v>111</v>
      </c>
      <c r="C6" s="83">
        <f>F28</f>
        <v>0</v>
      </c>
      <c r="D6" s="83">
        <f>C6</f>
        <v>0</v>
      </c>
      <c r="E6" s="83">
        <f>(D6*'Datos Economicos'!E21)+D6</f>
        <v>0</v>
      </c>
      <c r="F6" s="83">
        <f>(E6*'Datos Economicos'!F21)+E6</f>
        <v>0</v>
      </c>
      <c r="G6" s="83">
        <f>(F6*'Datos Economicos'!G21)+F6</f>
        <v>0</v>
      </c>
      <c r="H6" s="83">
        <f>(G6*'Datos Economicos'!H21)+G6</f>
        <v>0</v>
      </c>
    </row>
    <row r="7" spans="2:8" ht="14.4" x14ac:dyDescent="0.3">
      <c r="B7" s="32"/>
      <c r="C7" s="93"/>
      <c r="D7" s="93"/>
      <c r="E7" s="93"/>
      <c r="F7" s="93"/>
      <c r="G7" s="93"/>
      <c r="H7" s="93"/>
    </row>
    <row r="8" spans="2:8" ht="14.4" x14ac:dyDescent="0.3">
      <c r="B8" s="32"/>
      <c r="C8" s="93"/>
      <c r="D8" s="93"/>
      <c r="E8" s="93"/>
      <c r="F8" s="93"/>
      <c r="G8" s="93"/>
      <c r="H8" s="93"/>
    </row>
    <row r="9" spans="2:8" ht="14.4" x14ac:dyDescent="0.3">
      <c r="B9" s="155"/>
      <c r="C9" s="145"/>
      <c r="D9" s="145"/>
      <c r="E9" s="145"/>
      <c r="F9" s="145"/>
      <c r="G9" s="145"/>
      <c r="H9" s="145"/>
    </row>
    <row r="10" spans="2:8" ht="14.4" x14ac:dyDescent="0.3">
      <c r="B10" s="73" t="s">
        <v>49</v>
      </c>
      <c r="C10" s="114">
        <f t="shared" ref="C10:H10" si="0">SUM(C6:C9)</f>
        <v>0</v>
      </c>
      <c r="D10" s="114">
        <f t="shared" si="0"/>
        <v>0</v>
      </c>
      <c r="E10" s="114">
        <f t="shared" si="0"/>
        <v>0</v>
      </c>
      <c r="F10" s="114">
        <f t="shared" si="0"/>
        <v>0</v>
      </c>
      <c r="G10" s="114">
        <f t="shared" si="0"/>
        <v>0</v>
      </c>
      <c r="H10" s="114">
        <f t="shared" si="0"/>
        <v>0</v>
      </c>
    </row>
    <row r="13" spans="2:8" ht="14.4" x14ac:dyDescent="0.3">
      <c r="B13" s="185" t="s">
        <v>112</v>
      </c>
      <c r="C13" s="184"/>
      <c r="D13" s="184"/>
      <c r="E13" s="184"/>
      <c r="F13" s="181"/>
      <c r="G13" s="156"/>
      <c r="H13" s="156"/>
    </row>
    <row r="14" spans="2:8" ht="14.4" x14ac:dyDescent="0.3">
      <c r="B14" s="40" t="s">
        <v>113</v>
      </c>
      <c r="C14" s="40" t="s">
        <v>114</v>
      </c>
      <c r="D14" s="40" t="s">
        <v>73</v>
      </c>
      <c r="E14" s="40" t="s">
        <v>115</v>
      </c>
      <c r="F14" s="40" t="s">
        <v>116</v>
      </c>
    </row>
    <row r="15" spans="2:8" ht="14.4" x14ac:dyDescent="0.3">
      <c r="B15" s="76" t="s">
        <v>117</v>
      </c>
      <c r="C15" s="76" t="s">
        <v>114</v>
      </c>
      <c r="D15" s="42">
        <v>0</v>
      </c>
      <c r="E15" s="76">
        <v>1</v>
      </c>
      <c r="F15" s="83">
        <f t="shared" ref="F15:F27" si="1">D15*E15</f>
        <v>0</v>
      </c>
    </row>
    <row r="16" spans="2:8" ht="14.4" x14ac:dyDescent="0.3">
      <c r="B16" s="31" t="s">
        <v>118</v>
      </c>
      <c r="C16" s="31" t="s">
        <v>114</v>
      </c>
      <c r="D16" s="45">
        <v>0</v>
      </c>
      <c r="E16" s="31">
        <v>1</v>
      </c>
      <c r="F16" s="93">
        <f t="shared" si="1"/>
        <v>0</v>
      </c>
    </row>
    <row r="17" spans="2:6" ht="14.4" x14ac:dyDescent="0.3">
      <c r="B17" s="31" t="s">
        <v>119</v>
      </c>
      <c r="C17" s="31" t="s">
        <v>114</v>
      </c>
      <c r="D17" s="45">
        <v>0</v>
      </c>
      <c r="E17" s="31">
        <v>1</v>
      </c>
      <c r="F17" s="93">
        <f t="shared" si="1"/>
        <v>0</v>
      </c>
    </row>
    <row r="18" spans="2:6" ht="14.4" x14ac:dyDescent="0.3">
      <c r="B18" s="31" t="s">
        <v>120</v>
      </c>
      <c r="C18" s="31" t="s">
        <v>114</v>
      </c>
      <c r="D18" s="45">
        <v>0</v>
      </c>
      <c r="E18" s="31">
        <v>1</v>
      </c>
      <c r="F18" s="93">
        <f t="shared" si="1"/>
        <v>0</v>
      </c>
    </row>
    <row r="19" spans="2:6" ht="14.4" x14ac:dyDescent="0.3">
      <c r="B19" s="31" t="s">
        <v>121</v>
      </c>
      <c r="C19" s="31" t="s">
        <v>114</v>
      </c>
      <c r="D19" s="45">
        <v>0</v>
      </c>
      <c r="E19" s="31">
        <v>1</v>
      </c>
      <c r="F19" s="93">
        <f t="shared" si="1"/>
        <v>0</v>
      </c>
    </row>
    <row r="20" spans="2:6" ht="14.4" x14ac:dyDescent="0.3">
      <c r="B20" s="31" t="s">
        <v>122</v>
      </c>
      <c r="C20" s="31" t="s">
        <v>114</v>
      </c>
      <c r="D20" s="45">
        <v>0</v>
      </c>
      <c r="E20" s="31">
        <v>1</v>
      </c>
      <c r="F20" s="93">
        <f t="shared" si="1"/>
        <v>0</v>
      </c>
    </row>
    <row r="21" spans="2:6" ht="15.75" customHeight="1" x14ac:dyDescent="0.3">
      <c r="B21" s="31"/>
      <c r="C21" s="31"/>
      <c r="D21" s="45">
        <v>0</v>
      </c>
      <c r="E21" s="31"/>
      <c r="F21" s="93">
        <f t="shared" si="1"/>
        <v>0</v>
      </c>
    </row>
    <row r="22" spans="2:6" ht="15.75" customHeight="1" x14ac:dyDescent="0.3">
      <c r="B22" s="31"/>
      <c r="C22" s="31"/>
      <c r="D22" s="45">
        <v>0</v>
      </c>
      <c r="E22" s="31"/>
      <c r="F22" s="93">
        <f t="shared" si="1"/>
        <v>0</v>
      </c>
    </row>
    <row r="23" spans="2:6" ht="15.75" customHeight="1" x14ac:dyDescent="0.3">
      <c r="B23" s="31"/>
      <c r="C23" s="31"/>
      <c r="D23" s="45">
        <v>0</v>
      </c>
      <c r="E23" s="31"/>
      <c r="F23" s="93">
        <f t="shared" si="1"/>
        <v>0</v>
      </c>
    </row>
    <row r="24" spans="2:6" ht="15.75" customHeight="1" x14ac:dyDescent="0.3">
      <c r="B24" s="31"/>
      <c r="C24" s="31"/>
      <c r="D24" s="45">
        <v>0</v>
      </c>
      <c r="E24" s="31"/>
      <c r="F24" s="93">
        <f t="shared" si="1"/>
        <v>0</v>
      </c>
    </row>
    <row r="25" spans="2:6" ht="15.75" customHeight="1" x14ac:dyDescent="0.3">
      <c r="B25" s="31"/>
      <c r="C25" s="31"/>
      <c r="D25" s="45">
        <v>0</v>
      </c>
      <c r="E25" s="31"/>
      <c r="F25" s="93">
        <f t="shared" si="1"/>
        <v>0</v>
      </c>
    </row>
    <row r="26" spans="2:6" ht="15.75" customHeight="1" x14ac:dyDescent="0.3">
      <c r="B26" s="31"/>
      <c r="C26" s="31"/>
      <c r="D26" s="45">
        <v>0</v>
      </c>
      <c r="E26" s="31"/>
      <c r="F26" s="93">
        <f t="shared" si="1"/>
        <v>0</v>
      </c>
    </row>
    <row r="27" spans="2:6" ht="15.75" customHeight="1" x14ac:dyDescent="0.3">
      <c r="B27" s="131"/>
      <c r="C27" s="131"/>
      <c r="D27" s="45">
        <v>0</v>
      </c>
      <c r="E27" s="131"/>
      <c r="F27" s="93">
        <f t="shared" si="1"/>
        <v>0</v>
      </c>
    </row>
    <row r="28" spans="2:6" ht="15.75" customHeight="1" x14ac:dyDescent="0.3">
      <c r="B28" s="73" t="s">
        <v>123</v>
      </c>
      <c r="C28" s="73"/>
      <c r="D28" s="114">
        <f>SUM(D15:D27)</f>
        <v>0</v>
      </c>
      <c r="E28" s="73"/>
      <c r="F28" s="80">
        <f>SUM(F15:F27)</f>
        <v>0</v>
      </c>
    </row>
    <row r="29" spans="2:6" ht="15.75" customHeight="1" x14ac:dyDescent="0.3"/>
    <row r="30" spans="2:6" ht="15.75" customHeight="1" x14ac:dyDescent="0.3"/>
    <row r="31" spans="2:6" ht="15.75" customHeight="1" x14ac:dyDescent="0.3">
      <c r="B31" s="185" t="s">
        <v>124</v>
      </c>
      <c r="C31" s="184"/>
      <c r="D31" s="184"/>
      <c r="E31" s="184"/>
      <c r="F31" s="181"/>
    </row>
    <row r="32" spans="2:6" ht="15.75" customHeight="1" x14ac:dyDescent="0.3">
      <c r="B32" s="40" t="s">
        <v>124</v>
      </c>
      <c r="C32" s="40" t="s">
        <v>114</v>
      </c>
      <c r="D32" s="40" t="s">
        <v>73</v>
      </c>
      <c r="E32" s="40" t="s">
        <v>115</v>
      </c>
      <c r="F32" s="40" t="s">
        <v>116</v>
      </c>
    </row>
    <row r="33" spans="2:6" ht="15.75" customHeight="1" x14ac:dyDescent="0.3">
      <c r="B33" s="76"/>
      <c r="C33" s="76"/>
      <c r="D33" s="42"/>
      <c r="E33" s="76"/>
      <c r="F33" s="42"/>
    </row>
    <row r="34" spans="2:6" ht="15.75" customHeight="1" x14ac:dyDescent="0.3">
      <c r="B34" s="31"/>
      <c r="C34" s="31"/>
      <c r="D34" s="45"/>
      <c r="E34" s="31"/>
      <c r="F34" s="45"/>
    </row>
    <row r="35" spans="2:6" ht="15.75" customHeight="1" x14ac:dyDescent="0.3">
      <c r="B35" s="31"/>
      <c r="C35" s="31"/>
      <c r="D35" s="45"/>
      <c r="E35" s="31"/>
      <c r="F35" s="45"/>
    </row>
    <row r="36" spans="2:6" ht="15.75" customHeight="1" x14ac:dyDescent="0.3">
      <c r="B36" s="31"/>
      <c r="C36" s="31"/>
      <c r="D36" s="45"/>
      <c r="E36" s="31"/>
      <c r="F36" s="45"/>
    </row>
    <row r="37" spans="2:6" ht="15.75" customHeight="1" x14ac:dyDescent="0.3">
      <c r="B37" s="31"/>
      <c r="C37" s="31"/>
      <c r="D37" s="45"/>
      <c r="E37" s="31"/>
      <c r="F37" s="45"/>
    </row>
    <row r="38" spans="2:6" ht="15.75" customHeight="1" x14ac:dyDescent="0.3">
      <c r="B38" s="31"/>
      <c r="C38" s="31"/>
      <c r="D38" s="45"/>
      <c r="E38" s="31"/>
      <c r="F38" s="45"/>
    </row>
    <row r="39" spans="2:6" ht="15.75" customHeight="1" x14ac:dyDescent="0.3">
      <c r="B39" s="31"/>
      <c r="C39" s="31"/>
      <c r="D39" s="45"/>
      <c r="E39" s="31"/>
      <c r="F39" s="45"/>
    </row>
    <row r="40" spans="2:6" ht="15.75" customHeight="1" x14ac:dyDescent="0.3">
      <c r="B40" s="31"/>
      <c r="C40" s="31"/>
      <c r="D40" s="45"/>
      <c r="E40" s="31"/>
      <c r="F40" s="45"/>
    </row>
    <row r="41" spans="2:6" ht="15.75" customHeight="1" x14ac:dyDescent="0.3">
      <c r="B41" s="31"/>
      <c r="C41" s="31"/>
      <c r="D41" s="45"/>
      <c r="E41" s="31"/>
      <c r="F41" s="45"/>
    </row>
    <row r="42" spans="2:6" ht="15.75" customHeight="1" x14ac:dyDescent="0.3">
      <c r="B42" s="31"/>
      <c r="C42" s="31"/>
      <c r="D42" s="45"/>
      <c r="E42" s="31"/>
      <c r="F42" s="45"/>
    </row>
    <row r="43" spans="2:6" ht="15.75" customHeight="1" x14ac:dyDescent="0.3">
      <c r="B43" s="31"/>
      <c r="C43" s="31"/>
      <c r="D43" s="45"/>
      <c r="E43" s="31"/>
      <c r="F43" s="45"/>
    </row>
    <row r="44" spans="2:6" ht="15.75" customHeight="1" x14ac:dyDescent="0.3">
      <c r="B44" s="31"/>
      <c r="C44" s="31"/>
      <c r="D44" s="45"/>
      <c r="E44" s="31"/>
      <c r="F44" s="45"/>
    </row>
    <row r="45" spans="2:6" ht="15.75" customHeight="1" x14ac:dyDescent="0.3">
      <c r="B45" s="131"/>
      <c r="C45" s="131"/>
      <c r="D45" s="133"/>
      <c r="E45" s="131"/>
      <c r="F45" s="133"/>
    </row>
    <row r="46" spans="2:6" ht="15.75" customHeight="1" x14ac:dyDescent="0.3">
      <c r="B46" s="73" t="s">
        <v>123</v>
      </c>
      <c r="C46" s="73"/>
      <c r="D46" s="114">
        <f>SUM(D33:D45)</f>
        <v>0</v>
      </c>
      <c r="E46" s="73"/>
      <c r="F46" s="114">
        <f>SUM(F33:F45)</f>
        <v>0</v>
      </c>
    </row>
    <row r="47" spans="2:6" ht="15.75" customHeight="1" x14ac:dyDescent="0.3"/>
    <row r="48" spans="2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C2:H2"/>
    <mergeCell ref="B4:H4"/>
    <mergeCell ref="B13:F13"/>
    <mergeCell ref="B31:F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1000"/>
  <sheetViews>
    <sheetView workbookViewId="0"/>
  </sheetViews>
  <sheetFormatPr baseColWidth="10" defaultColWidth="14.44140625" defaultRowHeight="15" customHeight="1" x14ac:dyDescent="0.3"/>
  <cols>
    <col min="1" max="1" width="11.44140625" customWidth="1"/>
    <col min="2" max="2" width="45" customWidth="1"/>
    <col min="3" max="3" width="22.44140625" customWidth="1"/>
    <col min="4" max="4" width="21.109375" customWidth="1"/>
    <col min="5" max="5" width="21.6640625" customWidth="1"/>
    <col min="6" max="6" width="21" customWidth="1"/>
    <col min="7" max="7" width="17" customWidth="1"/>
    <col min="8" max="8" width="20.33203125" customWidth="1"/>
    <col min="9" max="26" width="11.44140625" customWidth="1"/>
  </cols>
  <sheetData>
    <row r="2" spans="2:8" ht="14.4" x14ac:dyDescent="0.3">
      <c r="B2" s="38" t="s">
        <v>17</v>
      </c>
      <c r="C2" s="194"/>
      <c r="D2" s="184"/>
      <c r="E2" s="184"/>
      <c r="F2" s="184"/>
      <c r="G2" s="184"/>
      <c r="H2" s="181"/>
    </row>
    <row r="4" spans="2:8" ht="14.4" x14ac:dyDescent="0.3">
      <c r="B4" s="180" t="s">
        <v>109</v>
      </c>
      <c r="C4" s="184"/>
      <c r="D4" s="184"/>
      <c r="E4" s="184"/>
      <c r="F4" s="184"/>
      <c r="G4" s="184"/>
      <c r="H4" s="181"/>
    </row>
    <row r="5" spans="2:8" ht="14.4" x14ac:dyDescent="0.3">
      <c r="B5" s="38" t="s">
        <v>63</v>
      </c>
      <c r="C5" s="38" t="s">
        <v>110</v>
      </c>
      <c r="D5" s="38" t="s">
        <v>31</v>
      </c>
      <c r="E5" s="38" t="s">
        <v>32</v>
      </c>
      <c r="F5" s="38" t="s">
        <v>33</v>
      </c>
      <c r="G5" s="38" t="s">
        <v>34</v>
      </c>
      <c r="H5" s="38" t="s">
        <v>35</v>
      </c>
    </row>
    <row r="6" spans="2:8" ht="14.4" x14ac:dyDescent="0.3">
      <c r="B6" s="154" t="s">
        <v>111</v>
      </c>
      <c r="C6" s="83"/>
      <c r="D6" s="83"/>
      <c r="E6" s="83"/>
      <c r="F6" s="83"/>
      <c r="G6" s="83"/>
      <c r="H6" s="83"/>
    </row>
    <row r="7" spans="2:8" ht="14.4" x14ac:dyDescent="0.3">
      <c r="B7" s="32"/>
      <c r="C7" s="93"/>
      <c r="D7" s="93"/>
      <c r="E7" s="93"/>
      <c r="F7" s="93"/>
      <c r="G7" s="93"/>
      <c r="H7" s="93"/>
    </row>
    <row r="8" spans="2:8" ht="14.4" x14ac:dyDescent="0.3">
      <c r="B8" s="32"/>
      <c r="C8" s="93"/>
      <c r="D8" s="93"/>
      <c r="E8" s="93"/>
      <c r="F8" s="93"/>
      <c r="G8" s="93"/>
      <c r="H8" s="93"/>
    </row>
    <row r="9" spans="2:8" ht="14.4" x14ac:dyDescent="0.3">
      <c r="B9" s="155"/>
      <c r="C9" s="145"/>
      <c r="D9" s="145"/>
      <c r="E9" s="145"/>
      <c r="F9" s="145"/>
      <c r="G9" s="145"/>
      <c r="H9" s="145"/>
    </row>
    <row r="10" spans="2:8" ht="14.4" x14ac:dyDescent="0.3">
      <c r="B10" s="73" t="s">
        <v>49</v>
      </c>
      <c r="C10" s="114">
        <f t="shared" ref="C10:H10" si="0">SUM(C6:C9)</f>
        <v>0</v>
      </c>
      <c r="D10" s="114">
        <f t="shared" si="0"/>
        <v>0</v>
      </c>
      <c r="E10" s="114">
        <f t="shared" si="0"/>
        <v>0</v>
      </c>
      <c r="F10" s="114">
        <f t="shared" si="0"/>
        <v>0</v>
      </c>
      <c r="G10" s="114">
        <f t="shared" si="0"/>
        <v>0</v>
      </c>
      <c r="H10" s="114">
        <f t="shared" si="0"/>
        <v>0</v>
      </c>
    </row>
    <row r="13" spans="2:8" ht="14.4" x14ac:dyDescent="0.3">
      <c r="B13" s="185" t="s">
        <v>112</v>
      </c>
      <c r="C13" s="184"/>
      <c r="D13" s="184"/>
      <c r="E13" s="184"/>
      <c r="F13" s="181"/>
      <c r="G13" s="156"/>
      <c r="H13" s="156"/>
    </row>
    <row r="14" spans="2:8" ht="14.4" x14ac:dyDescent="0.3">
      <c r="B14" s="40" t="s">
        <v>113</v>
      </c>
      <c r="C14" s="40" t="s">
        <v>114</v>
      </c>
      <c r="D14" s="40" t="s">
        <v>73</v>
      </c>
      <c r="E14" s="40" t="s">
        <v>115</v>
      </c>
      <c r="F14" s="40" t="s">
        <v>116</v>
      </c>
    </row>
    <row r="15" spans="2:8" ht="14.4" x14ac:dyDescent="0.3">
      <c r="B15" s="76"/>
      <c r="C15" s="76"/>
      <c r="D15" s="42"/>
      <c r="E15" s="76"/>
      <c r="F15" s="83">
        <f t="shared" ref="F15:F16" si="1">D15*E15</f>
        <v>0</v>
      </c>
    </row>
    <row r="16" spans="2:8" ht="14.4" x14ac:dyDescent="0.3">
      <c r="B16" s="31"/>
      <c r="C16" s="31"/>
      <c r="D16" s="45"/>
      <c r="E16" s="31"/>
      <c r="F16" s="93">
        <f t="shared" si="1"/>
        <v>0</v>
      </c>
    </row>
    <row r="17" spans="2:6" ht="14.4" x14ac:dyDescent="0.3">
      <c r="B17" s="31"/>
      <c r="C17" s="31"/>
      <c r="D17" s="45"/>
      <c r="E17" s="31"/>
      <c r="F17" s="93"/>
    </row>
    <row r="18" spans="2:6" ht="14.4" x14ac:dyDescent="0.3">
      <c r="B18" s="31"/>
      <c r="C18" s="31"/>
      <c r="D18" s="45"/>
      <c r="E18" s="31"/>
      <c r="F18" s="93"/>
    </row>
    <row r="19" spans="2:6" ht="14.4" x14ac:dyDescent="0.3">
      <c r="B19" s="31"/>
      <c r="C19" s="31"/>
      <c r="D19" s="45"/>
      <c r="E19" s="31"/>
      <c r="F19" s="93"/>
    </row>
    <row r="20" spans="2:6" ht="14.4" x14ac:dyDescent="0.3">
      <c r="B20" s="31"/>
      <c r="C20" s="31"/>
      <c r="D20" s="45"/>
      <c r="E20" s="31"/>
      <c r="F20" s="93"/>
    </row>
    <row r="21" spans="2:6" ht="15.75" customHeight="1" x14ac:dyDescent="0.3">
      <c r="B21" s="31"/>
      <c r="C21" s="31"/>
      <c r="D21" s="45"/>
      <c r="E21" s="31"/>
      <c r="F21" s="93"/>
    </row>
    <row r="22" spans="2:6" ht="15.75" customHeight="1" x14ac:dyDescent="0.3">
      <c r="B22" s="31"/>
      <c r="C22" s="31"/>
      <c r="D22" s="45"/>
      <c r="E22" s="31"/>
      <c r="F22" s="93"/>
    </row>
    <row r="23" spans="2:6" ht="15.75" customHeight="1" x14ac:dyDescent="0.3">
      <c r="B23" s="31"/>
      <c r="C23" s="31"/>
      <c r="D23" s="45"/>
      <c r="E23" s="31"/>
      <c r="F23" s="93"/>
    </row>
    <row r="24" spans="2:6" ht="15.75" customHeight="1" x14ac:dyDescent="0.3">
      <c r="B24" s="31"/>
      <c r="C24" s="31"/>
      <c r="D24" s="45"/>
      <c r="E24" s="31"/>
      <c r="F24" s="93"/>
    </row>
    <row r="25" spans="2:6" ht="15.75" customHeight="1" x14ac:dyDescent="0.3">
      <c r="B25" s="31"/>
      <c r="C25" s="31"/>
      <c r="D25" s="45"/>
      <c r="E25" s="31"/>
      <c r="F25" s="93"/>
    </row>
    <row r="26" spans="2:6" ht="15.75" customHeight="1" x14ac:dyDescent="0.3">
      <c r="B26" s="31"/>
      <c r="C26" s="31"/>
      <c r="D26" s="45"/>
      <c r="E26" s="31"/>
      <c r="F26" s="93"/>
    </row>
    <row r="27" spans="2:6" ht="15.75" customHeight="1" x14ac:dyDescent="0.3">
      <c r="B27" s="131"/>
      <c r="C27" s="131"/>
      <c r="D27" s="133"/>
      <c r="E27" s="131"/>
      <c r="F27" s="93"/>
    </row>
    <row r="28" spans="2:6" ht="15.75" customHeight="1" x14ac:dyDescent="0.3">
      <c r="B28" s="73" t="s">
        <v>123</v>
      </c>
      <c r="C28" s="73"/>
      <c r="D28" s="114">
        <f>SUM(D15:D27)</f>
        <v>0</v>
      </c>
      <c r="E28" s="73"/>
      <c r="F28" s="80">
        <f>SUM(F15:F27)</f>
        <v>0</v>
      </c>
    </row>
    <row r="29" spans="2:6" ht="15.75" customHeight="1" x14ac:dyDescent="0.3"/>
    <row r="30" spans="2:6" ht="15.75" customHeight="1" x14ac:dyDescent="0.3"/>
    <row r="31" spans="2:6" ht="15.75" customHeight="1" x14ac:dyDescent="0.3">
      <c r="B31" s="185" t="s">
        <v>124</v>
      </c>
      <c r="C31" s="184"/>
      <c r="D31" s="184"/>
      <c r="E31" s="184"/>
      <c r="F31" s="181"/>
    </row>
    <row r="32" spans="2:6" ht="15.75" customHeight="1" x14ac:dyDescent="0.3">
      <c r="B32" s="40" t="s">
        <v>124</v>
      </c>
      <c r="C32" s="40" t="s">
        <v>114</v>
      </c>
      <c r="D32" s="40" t="s">
        <v>73</v>
      </c>
      <c r="E32" s="40" t="s">
        <v>115</v>
      </c>
      <c r="F32" s="40" t="s">
        <v>116</v>
      </c>
    </row>
    <row r="33" spans="2:6" ht="15.75" customHeight="1" x14ac:dyDescent="0.3">
      <c r="B33" s="76"/>
      <c r="C33" s="76"/>
      <c r="D33" s="42"/>
      <c r="E33" s="76"/>
      <c r="F33" s="83"/>
    </row>
    <row r="34" spans="2:6" ht="15.75" customHeight="1" x14ac:dyDescent="0.3">
      <c r="B34" s="31"/>
      <c r="C34" s="31"/>
      <c r="D34" s="45"/>
      <c r="E34" s="31"/>
      <c r="F34" s="93"/>
    </row>
    <row r="35" spans="2:6" ht="15.75" customHeight="1" x14ac:dyDescent="0.3">
      <c r="B35" s="31"/>
      <c r="C35" s="31"/>
      <c r="D35" s="45"/>
      <c r="E35" s="31"/>
      <c r="F35" s="93"/>
    </row>
    <row r="36" spans="2:6" ht="15.75" customHeight="1" x14ac:dyDescent="0.3">
      <c r="B36" s="31"/>
      <c r="C36" s="31"/>
      <c r="D36" s="45"/>
      <c r="E36" s="31"/>
      <c r="F36" s="93"/>
    </row>
    <row r="37" spans="2:6" ht="15.75" customHeight="1" x14ac:dyDescent="0.3">
      <c r="B37" s="31"/>
      <c r="C37" s="31"/>
      <c r="D37" s="45"/>
      <c r="E37" s="31"/>
      <c r="F37" s="93"/>
    </row>
    <row r="38" spans="2:6" ht="15.75" customHeight="1" x14ac:dyDescent="0.3">
      <c r="B38" s="31"/>
      <c r="C38" s="31"/>
      <c r="D38" s="45"/>
      <c r="E38" s="31"/>
      <c r="F38" s="93"/>
    </row>
    <row r="39" spans="2:6" ht="15.75" customHeight="1" x14ac:dyDescent="0.3">
      <c r="B39" s="31"/>
      <c r="C39" s="31"/>
      <c r="D39" s="45"/>
      <c r="E39" s="31"/>
      <c r="F39" s="93"/>
    </row>
    <row r="40" spans="2:6" ht="15.75" customHeight="1" x14ac:dyDescent="0.3">
      <c r="B40" s="31"/>
      <c r="C40" s="31"/>
      <c r="D40" s="45"/>
      <c r="E40" s="31"/>
      <c r="F40" s="93"/>
    </row>
    <row r="41" spans="2:6" ht="15.75" customHeight="1" x14ac:dyDescent="0.3">
      <c r="B41" s="31"/>
      <c r="C41" s="31"/>
      <c r="D41" s="45"/>
      <c r="E41" s="31"/>
      <c r="F41" s="93"/>
    </row>
    <row r="42" spans="2:6" ht="15.75" customHeight="1" x14ac:dyDescent="0.3">
      <c r="B42" s="31"/>
      <c r="C42" s="31"/>
      <c r="D42" s="45"/>
      <c r="E42" s="31"/>
      <c r="F42" s="93"/>
    </row>
    <row r="43" spans="2:6" ht="15.75" customHeight="1" x14ac:dyDescent="0.3">
      <c r="B43" s="31"/>
      <c r="C43" s="31"/>
      <c r="D43" s="45"/>
      <c r="E43" s="31"/>
      <c r="F43" s="93"/>
    </row>
    <row r="44" spans="2:6" ht="15.75" customHeight="1" x14ac:dyDescent="0.3">
      <c r="B44" s="31"/>
      <c r="C44" s="31"/>
      <c r="D44" s="45"/>
      <c r="E44" s="31"/>
      <c r="F44" s="93"/>
    </row>
    <row r="45" spans="2:6" ht="15.75" customHeight="1" x14ac:dyDescent="0.3">
      <c r="B45" s="131"/>
      <c r="C45" s="131"/>
      <c r="D45" s="133"/>
      <c r="E45" s="131"/>
      <c r="F45" s="107"/>
    </row>
    <row r="46" spans="2:6" ht="15.75" customHeight="1" x14ac:dyDescent="0.3">
      <c r="B46" s="73" t="s">
        <v>123</v>
      </c>
      <c r="C46" s="73"/>
      <c r="D46" s="114">
        <f>SUM(D33:D45)</f>
        <v>0</v>
      </c>
      <c r="E46" s="73"/>
      <c r="F46" s="114">
        <f>SUM(F33:F45)</f>
        <v>0</v>
      </c>
    </row>
    <row r="47" spans="2:6" ht="15.75" customHeight="1" x14ac:dyDescent="0.3"/>
    <row r="48" spans="2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C2:H2"/>
    <mergeCell ref="B4:H4"/>
    <mergeCell ref="B13:F13"/>
    <mergeCell ref="B31:F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1000"/>
  <sheetViews>
    <sheetView workbookViewId="0"/>
  </sheetViews>
  <sheetFormatPr baseColWidth="10" defaultColWidth="14.44140625" defaultRowHeight="15" customHeight="1" x14ac:dyDescent="0.3"/>
  <cols>
    <col min="1" max="1" width="11.44140625" customWidth="1"/>
    <col min="2" max="2" width="45" customWidth="1"/>
    <col min="3" max="3" width="22.44140625" customWidth="1"/>
    <col min="4" max="4" width="21.109375" customWidth="1"/>
    <col min="5" max="5" width="21.6640625" customWidth="1"/>
    <col min="6" max="6" width="21" customWidth="1"/>
    <col min="7" max="7" width="17" customWidth="1"/>
    <col min="8" max="8" width="20.33203125" customWidth="1"/>
    <col min="9" max="26" width="11.44140625" customWidth="1"/>
  </cols>
  <sheetData>
    <row r="2" spans="2:8" ht="14.4" x14ac:dyDescent="0.3">
      <c r="B2" s="38" t="s">
        <v>17</v>
      </c>
      <c r="C2" s="194"/>
      <c r="D2" s="184"/>
      <c r="E2" s="184"/>
      <c r="F2" s="184"/>
      <c r="G2" s="184"/>
      <c r="H2" s="181"/>
    </row>
    <row r="4" spans="2:8" ht="14.4" x14ac:dyDescent="0.3">
      <c r="B4" s="180" t="s">
        <v>109</v>
      </c>
      <c r="C4" s="184"/>
      <c r="D4" s="184"/>
      <c r="E4" s="184"/>
      <c r="F4" s="184"/>
      <c r="G4" s="184"/>
      <c r="H4" s="181"/>
    </row>
    <row r="5" spans="2:8" ht="14.4" x14ac:dyDescent="0.3">
      <c r="B5" s="38" t="s">
        <v>63</v>
      </c>
      <c r="C5" s="38" t="s">
        <v>110</v>
      </c>
      <c r="D5" s="38" t="s">
        <v>31</v>
      </c>
      <c r="E5" s="38" t="s">
        <v>32</v>
      </c>
      <c r="F5" s="38" t="s">
        <v>33</v>
      </c>
      <c r="G5" s="38" t="s">
        <v>34</v>
      </c>
      <c r="H5" s="38" t="s">
        <v>35</v>
      </c>
    </row>
    <row r="6" spans="2:8" ht="14.4" x14ac:dyDescent="0.3">
      <c r="B6" s="154" t="s">
        <v>111</v>
      </c>
      <c r="C6" s="83"/>
      <c r="D6" s="83"/>
      <c r="E6" s="83"/>
      <c r="F6" s="83"/>
      <c r="G6" s="83"/>
      <c r="H6" s="83"/>
    </row>
    <row r="7" spans="2:8" ht="14.4" x14ac:dyDescent="0.3">
      <c r="B7" s="32"/>
      <c r="C7" s="93"/>
      <c r="D7" s="93"/>
      <c r="E7" s="93"/>
      <c r="F7" s="93"/>
      <c r="G7" s="93"/>
      <c r="H7" s="93"/>
    </row>
    <row r="8" spans="2:8" ht="14.4" x14ac:dyDescent="0.3">
      <c r="B8" s="32"/>
      <c r="C8" s="93"/>
      <c r="D8" s="93"/>
      <c r="E8" s="93"/>
      <c r="F8" s="93"/>
      <c r="G8" s="93"/>
      <c r="H8" s="93"/>
    </row>
    <row r="9" spans="2:8" ht="14.4" x14ac:dyDescent="0.3">
      <c r="B9" s="155"/>
      <c r="C9" s="145"/>
      <c r="D9" s="145"/>
      <c r="E9" s="145"/>
      <c r="F9" s="145"/>
      <c r="G9" s="145"/>
      <c r="H9" s="145"/>
    </row>
    <row r="10" spans="2:8" ht="14.4" x14ac:dyDescent="0.3">
      <c r="B10" s="73" t="s">
        <v>49</v>
      </c>
      <c r="C10" s="114">
        <f t="shared" ref="C10:H10" si="0">SUM(C6:C9)</f>
        <v>0</v>
      </c>
      <c r="D10" s="114">
        <f t="shared" si="0"/>
        <v>0</v>
      </c>
      <c r="E10" s="114">
        <f t="shared" si="0"/>
        <v>0</v>
      </c>
      <c r="F10" s="114">
        <f t="shared" si="0"/>
        <v>0</v>
      </c>
      <c r="G10" s="114">
        <f t="shared" si="0"/>
        <v>0</v>
      </c>
      <c r="H10" s="114">
        <f t="shared" si="0"/>
        <v>0</v>
      </c>
    </row>
    <row r="13" spans="2:8" ht="14.4" x14ac:dyDescent="0.3">
      <c r="B13" s="185" t="s">
        <v>112</v>
      </c>
      <c r="C13" s="184"/>
      <c r="D13" s="184"/>
      <c r="E13" s="184"/>
      <c r="F13" s="181"/>
      <c r="G13" s="156"/>
      <c r="H13" s="156"/>
    </row>
    <row r="14" spans="2:8" ht="14.4" x14ac:dyDescent="0.3">
      <c r="B14" s="40" t="s">
        <v>113</v>
      </c>
      <c r="C14" s="40" t="s">
        <v>114</v>
      </c>
      <c r="D14" s="40" t="s">
        <v>73</v>
      </c>
      <c r="E14" s="40" t="s">
        <v>115</v>
      </c>
      <c r="F14" s="40" t="s">
        <v>116</v>
      </c>
    </row>
    <row r="15" spans="2:8" ht="14.4" x14ac:dyDescent="0.3">
      <c r="B15" s="76"/>
      <c r="C15" s="76"/>
      <c r="D15" s="42"/>
      <c r="E15" s="76"/>
      <c r="F15" s="83">
        <f t="shared" ref="F15:F16" si="1">D15*E15</f>
        <v>0</v>
      </c>
    </row>
    <row r="16" spans="2:8" ht="14.4" x14ac:dyDescent="0.3">
      <c r="B16" s="31"/>
      <c r="C16" s="31"/>
      <c r="D16" s="45"/>
      <c r="E16" s="31"/>
      <c r="F16" s="93">
        <f t="shared" si="1"/>
        <v>0</v>
      </c>
    </row>
    <row r="17" spans="2:6" ht="14.4" x14ac:dyDescent="0.3">
      <c r="B17" s="31"/>
      <c r="C17" s="31"/>
      <c r="D17" s="45"/>
      <c r="E17" s="31"/>
      <c r="F17" s="93"/>
    </row>
    <row r="18" spans="2:6" ht="14.4" x14ac:dyDescent="0.3">
      <c r="B18" s="31"/>
      <c r="C18" s="31"/>
      <c r="D18" s="45"/>
      <c r="E18" s="31"/>
      <c r="F18" s="93"/>
    </row>
    <row r="19" spans="2:6" ht="14.4" x14ac:dyDescent="0.3">
      <c r="B19" s="31"/>
      <c r="C19" s="31"/>
      <c r="D19" s="45"/>
      <c r="E19" s="31"/>
      <c r="F19" s="93"/>
    </row>
    <row r="20" spans="2:6" ht="14.4" x14ac:dyDescent="0.3">
      <c r="B20" s="31"/>
      <c r="C20" s="31"/>
      <c r="D20" s="45"/>
      <c r="E20" s="31"/>
      <c r="F20" s="93"/>
    </row>
    <row r="21" spans="2:6" ht="15.75" customHeight="1" x14ac:dyDescent="0.3">
      <c r="B21" s="31"/>
      <c r="C21" s="31"/>
      <c r="D21" s="45"/>
      <c r="E21" s="31"/>
      <c r="F21" s="93"/>
    </row>
    <row r="22" spans="2:6" ht="15.75" customHeight="1" x14ac:dyDescent="0.3">
      <c r="B22" s="31"/>
      <c r="C22" s="31"/>
      <c r="D22" s="45"/>
      <c r="E22" s="31"/>
      <c r="F22" s="93"/>
    </row>
    <row r="23" spans="2:6" ht="15.75" customHeight="1" x14ac:dyDescent="0.3">
      <c r="B23" s="31"/>
      <c r="C23" s="31"/>
      <c r="D23" s="45"/>
      <c r="E23" s="31"/>
      <c r="F23" s="93"/>
    </row>
    <row r="24" spans="2:6" ht="15.75" customHeight="1" x14ac:dyDescent="0.3">
      <c r="B24" s="31"/>
      <c r="C24" s="31"/>
      <c r="D24" s="45"/>
      <c r="E24" s="31"/>
      <c r="F24" s="93"/>
    </row>
    <row r="25" spans="2:6" ht="15.75" customHeight="1" x14ac:dyDescent="0.3">
      <c r="B25" s="31"/>
      <c r="C25" s="31"/>
      <c r="D25" s="45"/>
      <c r="E25" s="31"/>
      <c r="F25" s="93"/>
    </row>
    <row r="26" spans="2:6" ht="15.75" customHeight="1" x14ac:dyDescent="0.3">
      <c r="B26" s="31"/>
      <c r="C26" s="31"/>
      <c r="D26" s="45"/>
      <c r="E26" s="31"/>
      <c r="F26" s="93"/>
    </row>
    <row r="27" spans="2:6" ht="15.75" customHeight="1" x14ac:dyDescent="0.3">
      <c r="B27" s="131"/>
      <c r="C27" s="131"/>
      <c r="D27" s="133"/>
      <c r="E27" s="131"/>
      <c r="F27" s="93"/>
    </row>
    <row r="28" spans="2:6" ht="15.75" customHeight="1" x14ac:dyDescent="0.3">
      <c r="B28" s="73" t="s">
        <v>123</v>
      </c>
      <c r="C28" s="73"/>
      <c r="D28" s="114">
        <f>SUM(D15:D27)</f>
        <v>0</v>
      </c>
      <c r="E28" s="73"/>
      <c r="F28" s="80">
        <f>SUM(F15:F27)</f>
        <v>0</v>
      </c>
    </row>
    <row r="29" spans="2:6" ht="15.75" customHeight="1" x14ac:dyDescent="0.3"/>
    <row r="30" spans="2:6" ht="15.75" customHeight="1" x14ac:dyDescent="0.3"/>
    <row r="31" spans="2:6" ht="15.75" customHeight="1" x14ac:dyDescent="0.3">
      <c r="B31" s="185" t="s">
        <v>124</v>
      </c>
      <c r="C31" s="184"/>
      <c r="D31" s="184"/>
      <c r="E31" s="184"/>
      <c r="F31" s="181"/>
    </row>
    <row r="32" spans="2:6" ht="15.75" customHeight="1" x14ac:dyDescent="0.3">
      <c r="B32" s="40" t="s">
        <v>124</v>
      </c>
      <c r="C32" s="40" t="s">
        <v>114</v>
      </c>
      <c r="D32" s="40" t="s">
        <v>73</v>
      </c>
      <c r="E32" s="40" t="s">
        <v>115</v>
      </c>
      <c r="F32" s="40" t="s">
        <v>116</v>
      </c>
    </row>
    <row r="33" spans="2:6" ht="15.75" customHeight="1" x14ac:dyDescent="0.3">
      <c r="B33" s="76"/>
      <c r="C33" s="76"/>
      <c r="D33" s="42"/>
      <c r="E33" s="76"/>
      <c r="F33" s="83"/>
    </row>
    <row r="34" spans="2:6" ht="15.75" customHeight="1" x14ac:dyDescent="0.3">
      <c r="B34" s="31"/>
      <c r="C34" s="31"/>
      <c r="D34" s="45"/>
      <c r="E34" s="31"/>
      <c r="F34" s="93"/>
    </row>
    <row r="35" spans="2:6" ht="15.75" customHeight="1" x14ac:dyDescent="0.3">
      <c r="B35" s="31"/>
      <c r="C35" s="31"/>
      <c r="D35" s="45"/>
      <c r="E35" s="31"/>
      <c r="F35" s="93"/>
    </row>
    <row r="36" spans="2:6" ht="15.75" customHeight="1" x14ac:dyDescent="0.3">
      <c r="B36" s="31"/>
      <c r="C36" s="31"/>
      <c r="D36" s="45"/>
      <c r="E36" s="31"/>
      <c r="F36" s="93"/>
    </row>
    <row r="37" spans="2:6" ht="15.75" customHeight="1" x14ac:dyDescent="0.3">
      <c r="B37" s="31"/>
      <c r="C37" s="31"/>
      <c r="D37" s="45"/>
      <c r="E37" s="31"/>
      <c r="F37" s="93"/>
    </row>
    <row r="38" spans="2:6" ht="15.75" customHeight="1" x14ac:dyDescent="0.3">
      <c r="B38" s="31"/>
      <c r="C38" s="31"/>
      <c r="D38" s="45"/>
      <c r="E38" s="31"/>
      <c r="F38" s="93"/>
    </row>
    <row r="39" spans="2:6" ht="15.75" customHeight="1" x14ac:dyDescent="0.3">
      <c r="B39" s="31"/>
      <c r="C39" s="31"/>
      <c r="D39" s="45"/>
      <c r="E39" s="31"/>
      <c r="F39" s="93"/>
    </row>
    <row r="40" spans="2:6" ht="15.75" customHeight="1" x14ac:dyDescent="0.3">
      <c r="B40" s="31"/>
      <c r="C40" s="31"/>
      <c r="D40" s="45"/>
      <c r="E40" s="31"/>
      <c r="F40" s="93"/>
    </row>
    <row r="41" spans="2:6" ht="15.75" customHeight="1" x14ac:dyDescent="0.3">
      <c r="B41" s="31"/>
      <c r="C41" s="31"/>
      <c r="D41" s="45"/>
      <c r="E41" s="31"/>
      <c r="F41" s="93"/>
    </row>
    <row r="42" spans="2:6" ht="15.75" customHeight="1" x14ac:dyDescent="0.3">
      <c r="B42" s="31"/>
      <c r="C42" s="31"/>
      <c r="D42" s="45"/>
      <c r="E42" s="31"/>
      <c r="F42" s="93"/>
    </row>
    <row r="43" spans="2:6" ht="15.75" customHeight="1" x14ac:dyDescent="0.3">
      <c r="B43" s="31"/>
      <c r="C43" s="31"/>
      <c r="D43" s="45"/>
      <c r="E43" s="31"/>
      <c r="F43" s="93"/>
    </row>
    <row r="44" spans="2:6" ht="15.75" customHeight="1" x14ac:dyDescent="0.3">
      <c r="B44" s="31"/>
      <c r="C44" s="31"/>
      <c r="D44" s="45"/>
      <c r="E44" s="31"/>
      <c r="F44" s="93"/>
    </row>
    <row r="45" spans="2:6" ht="15.75" customHeight="1" x14ac:dyDescent="0.3">
      <c r="B45" s="131"/>
      <c r="C45" s="131"/>
      <c r="D45" s="133"/>
      <c r="E45" s="131"/>
      <c r="F45" s="107"/>
    </row>
    <row r="46" spans="2:6" ht="15.75" customHeight="1" x14ac:dyDescent="0.3">
      <c r="B46" s="73" t="s">
        <v>123</v>
      </c>
      <c r="C46" s="73"/>
      <c r="D46" s="114">
        <f>SUM(D33:D45)</f>
        <v>0</v>
      </c>
      <c r="E46" s="73"/>
      <c r="F46" s="114">
        <f>SUM(F33:F45)</f>
        <v>0</v>
      </c>
    </row>
    <row r="47" spans="2:6" ht="15.75" customHeight="1" x14ac:dyDescent="0.3"/>
    <row r="48" spans="2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C2:H2"/>
    <mergeCell ref="B4:H4"/>
    <mergeCell ref="B13:F13"/>
    <mergeCell ref="B31:F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1000"/>
  <sheetViews>
    <sheetView workbookViewId="0"/>
  </sheetViews>
  <sheetFormatPr baseColWidth="10" defaultColWidth="14.44140625" defaultRowHeight="15" customHeight="1" x14ac:dyDescent="0.3"/>
  <cols>
    <col min="1" max="1" width="11.44140625" customWidth="1"/>
    <col min="2" max="2" width="45" customWidth="1"/>
    <col min="3" max="3" width="22.44140625" customWidth="1"/>
    <col min="4" max="4" width="21.109375" customWidth="1"/>
    <col min="5" max="5" width="21.6640625" customWidth="1"/>
    <col min="6" max="6" width="21" customWidth="1"/>
    <col min="7" max="7" width="17" customWidth="1"/>
    <col min="8" max="8" width="20.33203125" customWidth="1"/>
    <col min="9" max="26" width="11.44140625" customWidth="1"/>
  </cols>
  <sheetData>
    <row r="2" spans="2:8" ht="14.4" x14ac:dyDescent="0.3">
      <c r="B2" s="38" t="s">
        <v>17</v>
      </c>
      <c r="C2" s="194"/>
      <c r="D2" s="184"/>
      <c r="E2" s="184"/>
      <c r="F2" s="184"/>
      <c r="G2" s="184"/>
      <c r="H2" s="181"/>
    </row>
    <row r="4" spans="2:8" ht="14.4" x14ac:dyDescent="0.3">
      <c r="B4" s="180" t="s">
        <v>109</v>
      </c>
      <c r="C4" s="184"/>
      <c r="D4" s="184"/>
      <c r="E4" s="184"/>
      <c r="F4" s="184"/>
      <c r="G4" s="184"/>
      <c r="H4" s="181"/>
    </row>
    <row r="5" spans="2:8" ht="14.4" x14ac:dyDescent="0.3">
      <c r="B5" s="38" t="s">
        <v>63</v>
      </c>
      <c r="C5" s="38" t="s">
        <v>110</v>
      </c>
      <c r="D5" s="38" t="s">
        <v>31</v>
      </c>
      <c r="E5" s="38" t="s">
        <v>32</v>
      </c>
      <c r="F5" s="38" t="s">
        <v>33</v>
      </c>
      <c r="G5" s="38" t="s">
        <v>34</v>
      </c>
      <c r="H5" s="38" t="s">
        <v>35</v>
      </c>
    </row>
    <row r="6" spans="2:8" ht="14.4" x14ac:dyDescent="0.3">
      <c r="B6" s="154" t="s">
        <v>111</v>
      </c>
      <c r="C6" s="83"/>
      <c r="D6" s="83"/>
      <c r="E6" s="83"/>
      <c r="F6" s="83"/>
      <c r="G6" s="83"/>
      <c r="H6" s="83"/>
    </row>
    <row r="7" spans="2:8" ht="14.4" x14ac:dyDescent="0.3">
      <c r="B7" s="32"/>
      <c r="C7" s="93"/>
      <c r="D7" s="93"/>
      <c r="E7" s="93"/>
      <c r="F7" s="93"/>
      <c r="G7" s="93"/>
      <c r="H7" s="93"/>
    </row>
    <row r="8" spans="2:8" ht="14.4" x14ac:dyDescent="0.3">
      <c r="B8" s="32"/>
      <c r="C8" s="93"/>
      <c r="D8" s="93"/>
      <c r="E8" s="93"/>
      <c r="F8" s="93"/>
      <c r="G8" s="93"/>
      <c r="H8" s="93"/>
    </row>
    <row r="9" spans="2:8" ht="14.4" x14ac:dyDescent="0.3">
      <c r="B9" s="155"/>
      <c r="C9" s="145"/>
      <c r="D9" s="145"/>
      <c r="E9" s="145"/>
      <c r="F9" s="145"/>
      <c r="G9" s="145"/>
      <c r="H9" s="145"/>
    </row>
    <row r="10" spans="2:8" ht="14.4" x14ac:dyDescent="0.3">
      <c r="B10" s="73" t="s">
        <v>49</v>
      </c>
      <c r="C10" s="114">
        <f t="shared" ref="C10:H10" si="0">SUM(C6:C9)</f>
        <v>0</v>
      </c>
      <c r="D10" s="114">
        <f t="shared" si="0"/>
        <v>0</v>
      </c>
      <c r="E10" s="114">
        <f t="shared" si="0"/>
        <v>0</v>
      </c>
      <c r="F10" s="114">
        <f t="shared" si="0"/>
        <v>0</v>
      </c>
      <c r="G10" s="114">
        <f t="shared" si="0"/>
        <v>0</v>
      </c>
      <c r="H10" s="114">
        <f t="shared" si="0"/>
        <v>0</v>
      </c>
    </row>
    <row r="13" spans="2:8" ht="14.4" x14ac:dyDescent="0.3">
      <c r="B13" s="185" t="s">
        <v>112</v>
      </c>
      <c r="C13" s="184"/>
      <c r="D13" s="184"/>
      <c r="E13" s="184"/>
      <c r="F13" s="181"/>
      <c r="G13" s="156"/>
      <c r="H13" s="156"/>
    </row>
    <row r="14" spans="2:8" ht="14.4" x14ac:dyDescent="0.3">
      <c r="B14" s="40" t="s">
        <v>113</v>
      </c>
      <c r="C14" s="40" t="s">
        <v>114</v>
      </c>
      <c r="D14" s="40" t="s">
        <v>73</v>
      </c>
      <c r="E14" s="40" t="s">
        <v>115</v>
      </c>
      <c r="F14" s="40" t="s">
        <v>116</v>
      </c>
    </row>
    <row r="15" spans="2:8" ht="14.4" x14ac:dyDescent="0.3">
      <c r="B15" s="76"/>
      <c r="C15" s="76"/>
      <c r="D15" s="42"/>
      <c r="E15" s="76"/>
      <c r="F15" s="83">
        <f t="shared" ref="F15:F16" si="1">D15*E15</f>
        <v>0</v>
      </c>
    </row>
    <row r="16" spans="2:8" ht="14.4" x14ac:dyDescent="0.3">
      <c r="B16" s="31"/>
      <c r="C16" s="31"/>
      <c r="D16" s="45"/>
      <c r="E16" s="31"/>
      <c r="F16" s="93">
        <f t="shared" si="1"/>
        <v>0</v>
      </c>
    </row>
    <row r="17" spans="2:6" ht="14.4" x14ac:dyDescent="0.3">
      <c r="B17" s="31"/>
      <c r="C17" s="31"/>
      <c r="D17" s="45"/>
      <c r="E17" s="31"/>
      <c r="F17" s="93"/>
    </row>
    <row r="18" spans="2:6" ht="14.4" x14ac:dyDescent="0.3">
      <c r="B18" s="31"/>
      <c r="C18" s="31"/>
      <c r="D18" s="45"/>
      <c r="E18" s="31"/>
      <c r="F18" s="93"/>
    </row>
    <row r="19" spans="2:6" ht="14.4" x14ac:dyDescent="0.3">
      <c r="B19" s="31"/>
      <c r="C19" s="31"/>
      <c r="D19" s="45"/>
      <c r="E19" s="31"/>
      <c r="F19" s="93"/>
    </row>
    <row r="20" spans="2:6" ht="14.4" x14ac:dyDescent="0.3">
      <c r="B20" s="31"/>
      <c r="C20" s="31"/>
      <c r="D20" s="45"/>
      <c r="E20" s="31"/>
      <c r="F20" s="93"/>
    </row>
    <row r="21" spans="2:6" ht="15.75" customHeight="1" x14ac:dyDescent="0.3">
      <c r="B21" s="31"/>
      <c r="C21" s="31"/>
      <c r="D21" s="45"/>
      <c r="E21" s="31"/>
      <c r="F21" s="93"/>
    </row>
    <row r="22" spans="2:6" ht="15.75" customHeight="1" x14ac:dyDescent="0.3">
      <c r="B22" s="31"/>
      <c r="C22" s="31"/>
      <c r="D22" s="45"/>
      <c r="E22" s="31"/>
      <c r="F22" s="93"/>
    </row>
    <row r="23" spans="2:6" ht="15.75" customHeight="1" x14ac:dyDescent="0.3">
      <c r="B23" s="31"/>
      <c r="C23" s="31"/>
      <c r="D23" s="45"/>
      <c r="E23" s="31"/>
      <c r="F23" s="93"/>
    </row>
    <row r="24" spans="2:6" ht="15.75" customHeight="1" x14ac:dyDescent="0.3">
      <c r="B24" s="31"/>
      <c r="C24" s="31"/>
      <c r="D24" s="45"/>
      <c r="E24" s="31"/>
      <c r="F24" s="93"/>
    </row>
    <row r="25" spans="2:6" ht="15.75" customHeight="1" x14ac:dyDescent="0.3">
      <c r="B25" s="31"/>
      <c r="C25" s="31"/>
      <c r="D25" s="45"/>
      <c r="E25" s="31"/>
      <c r="F25" s="93"/>
    </row>
    <row r="26" spans="2:6" ht="15.75" customHeight="1" x14ac:dyDescent="0.3">
      <c r="B26" s="31"/>
      <c r="C26" s="31"/>
      <c r="D26" s="45"/>
      <c r="E26" s="31"/>
      <c r="F26" s="93"/>
    </row>
    <row r="27" spans="2:6" ht="15.75" customHeight="1" x14ac:dyDescent="0.3">
      <c r="B27" s="131"/>
      <c r="C27" s="131"/>
      <c r="D27" s="133"/>
      <c r="E27" s="131"/>
      <c r="F27" s="93"/>
    </row>
    <row r="28" spans="2:6" ht="15.75" customHeight="1" x14ac:dyDescent="0.3">
      <c r="B28" s="73" t="s">
        <v>123</v>
      </c>
      <c r="C28" s="73"/>
      <c r="D28" s="114">
        <f>SUM(D15:D27)</f>
        <v>0</v>
      </c>
      <c r="E28" s="73"/>
      <c r="F28" s="80">
        <f>SUM(F15:F27)</f>
        <v>0</v>
      </c>
    </row>
    <row r="29" spans="2:6" ht="15.75" customHeight="1" x14ac:dyDescent="0.3"/>
    <row r="30" spans="2:6" ht="15.75" customHeight="1" x14ac:dyDescent="0.3"/>
    <row r="31" spans="2:6" ht="15.75" customHeight="1" x14ac:dyDescent="0.3">
      <c r="B31" s="185" t="s">
        <v>124</v>
      </c>
      <c r="C31" s="184"/>
      <c r="D31" s="184"/>
      <c r="E31" s="184"/>
      <c r="F31" s="181"/>
    </row>
    <row r="32" spans="2:6" ht="15.75" customHeight="1" x14ac:dyDescent="0.3">
      <c r="B32" s="40" t="s">
        <v>124</v>
      </c>
      <c r="C32" s="40" t="s">
        <v>114</v>
      </c>
      <c r="D32" s="40" t="s">
        <v>73</v>
      </c>
      <c r="E32" s="40" t="s">
        <v>115</v>
      </c>
      <c r="F32" s="40" t="s">
        <v>116</v>
      </c>
    </row>
    <row r="33" spans="2:6" ht="15.75" customHeight="1" x14ac:dyDescent="0.3">
      <c r="B33" s="76"/>
      <c r="C33" s="76"/>
      <c r="D33" s="42"/>
      <c r="E33" s="76"/>
      <c r="F33" s="83"/>
    </row>
    <row r="34" spans="2:6" ht="15.75" customHeight="1" x14ac:dyDescent="0.3">
      <c r="B34" s="31"/>
      <c r="C34" s="31"/>
      <c r="D34" s="45"/>
      <c r="E34" s="31"/>
      <c r="F34" s="93"/>
    </row>
    <row r="35" spans="2:6" ht="15.75" customHeight="1" x14ac:dyDescent="0.3">
      <c r="B35" s="31"/>
      <c r="C35" s="31"/>
      <c r="D35" s="45"/>
      <c r="E35" s="31"/>
      <c r="F35" s="93"/>
    </row>
    <row r="36" spans="2:6" ht="15.75" customHeight="1" x14ac:dyDescent="0.3">
      <c r="B36" s="31"/>
      <c r="C36" s="31"/>
      <c r="D36" s="45"/>
      <c r="E36" s="31"/>
      <c r="F36" s="93"/>
    </row>
    <row r="37" spans="2:6" ht="15.75" customHeight="1" x14ac:dyDescent="0.3">
      <c r="B37" s="31"/>
      <c r="C37" s="31"/>
      <c r="D37" s="45"/>
      <c r="E37" s="31"/>
      <c r="F37" s="93"/>
    </row>
    <row r="38" spans="2:6" ht="15.75" customHeight="1" x14ac:dyDescent="0.3">
      <c r="B38" s="31"/>
      <c r="C38" s="31"/>
      <c r="D38" s="45"/>
      <c r="E38" s="31"/>
      <c r="F38" s="93"/>
    </row>
    <row r="39" spans="2:6" ht="15.75" customHeight="1" x14ac:dyDescent="0.3">
      <c r="B39" s="31"/>
      <c r="C39" s="31"/>
      <c r="D39" s="45"/>
      <c r="E39" s="31"/>
      <c r="F39" s="93"/>
    </row>
    <row r="40" spans="2:6" ht="15.75" customHeight="1" x14ac:dyDescent="0.3">
      <c r="B40" s="31"/>
      <c r="C40" s="31"/>
      <c r="D40" s="45"/>
      <c r="E40" s="31"/>
      <c r="F40" s="93"/>
    </row>
    <row r="41" spans="2:6" ht="15.75" customHeight="1" x14ac:dyDescent="0.3">
      <c r="B41" s="31"/>
      <c r="C41" s="31"/>
      <c r="D41" s="45"/>
      <c r="E41" s="31"/>
      <c r="F41" s="93"/>
    </row>
    <row r="42" spans="2:6" ht="15.75" customHeight="1" x14ac:dyDescent="0.3">
      <c r="B42" s="31"/>
      <c r="C42" s="31"/>
      <c r="D42" s="45"/>
      <c r="E42" s="31"/>
      <c r="F42" s="93"/>
    </row>
    <row r="43" spans="2:6" ht="15.75" customHeight="1" x14ac:dyDescent="0.3">
      <c r="B43" s="31"/>
      <c r="C43" s="31"/>
      <c r="D43" s="45"/>
      <c r="E43" s="31"/>
      <c r="F43" s="93"/>
    </row>
    <row r="44" spans="2:6" ht="15.75" customHeight="1" x14ac:dyDescent="0.3">
      <c r="B44" s="31"/>
      <c r="C44" s="31"/>
      <c r="D44" s="45"/>
      <c r="E44" s="31"/>
      <c r="F44" s="93"/>
    </row>
    <row r="45" spans="2:6" ht="15.75" customHeight="1" x14ac:dyDescent="0.3">
      <c r="B45" s="131"/>
      <c r="C45" s="131"/>
      <c r="D45" s="133"/>
      <c r="E45" s="131"/>
      <c r="F45" s="107"/>
    </row>
    <row r="46" spans="2:6" ht="15.75" customHeight="1" x14ac:dyDescent="0.3">
      <c r="B46" s="73" t="s">
        <v>123</v>
      </c>
      <c r="C46" s="73"/>
      <c r="D46" s="114">
        <f>SUM(D33:D45)</f>
        <v>0</v>
      </c>
      <c r="E46" s="73"/>
      <c r="F46" s="114">
        <f>SUM(F33:F45)</f>
        <v>0</v>
      </c>
    </row>
    <row r="47" spans="2:6" ht="15.75" customHeight="1" x14ac:dyDescent="0.3"/>
    <row r="48" spans="2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C2:H2"/>
    <mergeCell ref="B4:H4"/>
    <mergeCell ref="B13:F13"/>
    <mergeCell ref="B31:F3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1000"/>
  <sheetViews>
    <sheetView workbookViewId="0"/>
  </sheetViews>
  <sheetFormatPr baseColWidth="10" defaultColWidth="14.44140625" defaultRowHeight="15" customHeight="1" x14ac:dyDescent="0.3"/>
  <cols>
    <col min="1" max="1" width="11.44140625" customWidth="1"/>
    <col min="2" max="2" width="18.6640625" customWidth="1"/>
    <col min="3" max="3" width="21.109375" customWidth="1"/>
    <col min="4" max="4" width="21.5546875" customWidth="1"/>
    <col min="5" max="5" width="29.88671875" customWidth="1"/>
    <col min="6" max="6" width="21.6640625" customWidth="1"/>
    <col min="7" max="26" width="11.44140625" customWidth="1"/>
  </cols>
  <sheetData>
    <row r="2" spans="2:6" ht="14.4" x14ac:dyDescent="0.3">
      <c r="B2" s="185" t="s">
        <v>125</v>
      </c>
      <c r="C2" s="181"/>
      <c r="E2" s="73" t="s">
        <v>126</v>
      </c>
      <c r="F2" s="73" t="s">
        <v>127</v>
      </c>
    </row>
    <row r="3" spans="2:6" ht="14.4" x14ac:dyDescent="0.3">
      <c r="B3" s="40" t="s">
        <v>17</v>
      </c>
      <c r="C3" s="40" t="s">
        <v>128</v>
      </c>
      <c r="E3" s="154" t="s">
        <v>129</v>
      </c>
      <c r="F3" s="154">
        <v>9</v>
      </c>
    </row>
    <row r="4" spans="2:6" ht="14.4" x14ac:dyDescent="0.3">
      <c r="B4" s="154" t="str">
        <f>'Estructura de Mercado'!B8</f>
        <v>Asistnte</v>
      </c>
      <c r="C4" s="154">
        <f>'Estructura de Mercado'!G8</f>
        <v>12</v>
      </c>
      <c r="E4" s="32" t="s">
        <v>130</v>
      </c>
      <c r="F4" s="32">
        <v>7</v>
      </c>
    </row>
    <row r="5" spans="2:6" ht="14.4" x14ac:dyDescent="0.3">
      <c r="B5" s="32"/>
      <c r="C5" s="32"/>
      <c r="E5" s="32" t="s">
        <v>131</v>
      </c>
      <c r="F5" s="32">
        <v>5</v>
      </c>
    </row>
    <row r="6" spans="2:6" ht="14.4" x14ac:dyDescent="0.3">
      <c r="B6" s="32"/>
      <c r="C6" s="32"/>
      <c r="E6" s="32" t="s">
        <v>132</v>
      </c>
      <c r="F6" s="32">
        <v>3</v>
      </c>
    </row>
    <row r="7" spans="2:6" ht="14.4" x14ac:dyDescent="0.3">
      <c r="B7" s="157"/>
      <c r="C7" s="32"/>
      <c r="E7" s="155" t="s">
        <v>133</v>
      </c>
      <c r="F7" s="155">
        <v>0</v>
      </c>
    </row>
    <row r="8" spans="2:6" ht="14.4" x14ac:dyDescent="0.3">
      <c r="B8" s="158"/>
      <c r="C8" s="32"/>
    </row>
    <row r="9" spans="2:6" ht="14.4" x14ac:dyDescent="0.3">
      <c r="B9" s="113" t="s">
        <v>49</v>
      </c>
      <c r="C9" s="79">
        <f>SUM(C4:C8)</f>
        <v>12</v>
      </c>
      <c r="E9" s="73" t="s">
        <v>22</v>
      </c>
      <c r="F9" s="159">
        <f>'Datos Economicos'!F6</f>
        <v>44000000</v>
      </c>
    </row>
    <row r="12" spans="2:6" ht="14.4" x14ac:dyDescent="0.3">
      <c r="B12" s="191" t="s">
        <v>134</v>
      </c>
      <c r="C12" s="191" t="s">
        <v>127</v>
      </c>
      <c r="D12" s="180" t="s">
        <v>31</v>
      </c>
      <c r="E12" s="181"/>
    </row>
    <row r="13" spans="2:6" ht="14.4" x14ac:dyDescent="0.3">
      <c r="B13" s="192"/>
      <c r="C13" s="192"/>
      <c r="D13" s="160" t="s">
        <v>135</v>
      </c>
      <c r="E13" s="160" t="s">
        <v>136</v>
      </c>
    </row>
    <row r="14" spans="2:6" ht="14.4" x14ac:dyDescent="0.3">
      <c r="B14" s="154" t="s">
        <v>137</v>
      </c>
      <c r="C14" s="161">
        <v>3</v>
      </c>
      <c r="D14" s="162">
        <f t="shared" ref="D14:D25" si="0">IF($C$26&gt;0,(C14/$C$26)*$C$9,0)</f>
        <v>0.69230769230769229</v>
      </c>
      <c r="E14" s="163">
        <f t="shared" ref="E14:E25" si="1">IF($D$26&gt;0,($F$9*D14)/$D$26,)</f>
        <v>2538461.5384615385</v>
      </c>
    </row>
    <row r="15" spans="2:6" ht="14.4" x14ac:dyDescent="0.3">
      <c r="B15" s="32" t="s">
        <v>138</v>
      </c>
      <c r="C15" s="164">
        <v>5</v>
      </c>
      <c r="D15" s="165">
        <f t="shared" si="0"/>
        <v>1.153846153846154</v>
      </c>
      <c r="E15" s="166">
        <f t="shared" si="1"/>
        <v>4230769.230769231</v>
      </c>
    </row>
    <row r="16" spans="2:6" ht="14.4" x14ac:dyDescent="0.3">
      <c r="B16" s="32" t="s">
        <v>139</v>
      </c>
      <c r="C16" s="164">
        <v>5</v>
      </c>
      <c r="D16" s="165">
        <f t="shared" si="0"/>
        <v>1.153846153846154</v>
      </c>
      <c r="E16" s="166">
        <f t="shared" si="1"/>
        <v>4230769.230769231</v>
      </c>
    </row>
    <row r="17" spans="2:5" ht="14.4" x14ac:dyDescent="0.3">
      <c r="B17" s="32" t="s">
        <v>140</v>
      </c>
      <c r="C17" s="164">
        <v>5</v>
      </c>
      <c r="D17" s="165">
        <f t="shared" si="0"/>
        <v>1.153846153846154</v>
      </c>
      <c r="E17" s="166">
        <f t="shared" si="1"/>
        <v>4230769.230769231</v>
      </c>
    </row>
    <row r="18" spans="2:5" ht="14.4" x14ac:dyDescent="0.3">
      <c r="B18" s="32" t="s">
        <v>141</v>
      </c>
      <c r="C18" s="164">
        <v>5</v>
      </c>
      <c r="D18" s="165">
        <f t="shared" si="0"/>
        <v>1.153846153846154</v>
      </c>
      <c r="E18" s="166">
        <f t="shared" si="1"/>
        <v>4230769.230769231</v>
      </c>
    </row>
    <row r="19" spans="2:5" ht="14.4" x14ac:dyDescent="0.3">
      <c r="B19" s="32" t="s">
        <v>142</v>
      </c>
      <c r="C19" s="164">
        <v>3</v>
      </c>
      <c r="D19" s="165">
        <f t="shared" si="0"/>
        <v>0.69230769230769229</v>
      </c>
      <c r="E19" s="166">
        <f t="shared" si="1"/>
        <v>2538461.5384615385</v>
      </c>
    </row>
    <row r="20" spans="2:5" ht="14.4" x14ac:dyDescent="0.3">
      <c r="B20" s="32" t="s">
        <v>143</v>
      </c>
      <c r="C20" s="164">
        <v>3</v>
      </c>
      <c r="D20" s="165">
        <f t="shared" si="0"/>
        <v>0.69230769230769229</v>
      </c>
      <c r="E20" s="166">
        <f t="shared" si="1"/>
        <v>2538461.5384615385</v>
      </c>
    </row>
    <row r="21" spans="2:5" ht="15.75" customHeight="1" x14ac:dyDescent="0.3">
      <c r="B21" s="32" t="s">
        <v>144</v>
      </c>
      <c r="C21" s="164">
        <v>5</v>
      </c>
      <c r="D21" s="165">
        <f t="shared" si="0"/>
        <v>1.153846153846154</v>
      </c>
      <c r="E21" s="166">
        <f t="shared" si="1"/>
        <v>4230769.230769231</v>
      </c>
    </row>
    <row r="22" spans="2:5" ht="15.75" customHeight="1" x14ac:dyDescent="0.3">
      <c r="B22" s="32" t="s">
        <v>145</v>
      </c>
      <c r="C22" s="164">
        <v>5</v>
      </c>
      <c r="D22" s="165">
        <f t="shared" si="0"/>
        <v>1.153846153846154</v>
      </c>
      <c r="E22" s="166">
        <f t="shared" si="1"/>
        <v>4230769.230769231</v>
      </c>
    </row>
    <row r="23" spans="2:5" ht="15.75" customHeight="1" x14ac:dyDescent="0.3">
      <c r="B23" s="32" t="s">
        <v>146</v>
      </c>
      <c r="C23" s="164">
        <v>5</v>
      </c>
      <c r="D23" s="165">
        <f t="shared" si="0"/>
        <v>1.153846153846154</v>
      </c>
      <c r="E23" s="166">
        <f t="shared" si="1"/>
        <v>4230769.230769231</v>
      </c>
    </row>
    <row r="24" spans="2:5" ht="15.75" customHeight="1" x14ac:dyDescent="0.3">
      <c r="B24" s="32" t="s">
        <v>147</v>
      </c>
      <c r="C24" s="164">
        <v>5</v>
      </c>
      <c r="D24" s="165">
        <f t="shared" si="0"/>
        <v>1.153846153846154</v>
      </c>
      <c r="E24" s="166">
        <f t="shared" si="1"/>
        <v>4230769.230769231</v>
      </c>
    </row>
    <row r="25" spans="2:5" ht="15.75" customHeight="1" x14ac:dyDescent="0.3">
      <c r="B25" s="157" t="s">
        <v>148</v>
      </c>
      <c r="C25" s="167">
        <v>3</v>
      </c>
      <c r="D25" s="168">
        <f t="shared" si="0"/>
        <v>0.69230769230769229</v>
      </c>
      <c r="E25" s="169">
        <f t="shared" si="1"/>
        <v>2538461.5384615385</v>
      </c>
    </row>
    <row r="26" spans="2:5" ht="15.75" customHeight="1" x14ac:dyDescent="0.3">
      <c r="B26" s="73" t="s">
        <v>49</v>
      </c>
      <c r="C26" s="170">
        <f t="shared" ref="C26:E26" si="2">SUM(C14:C25)</f>
        <v>52</v>
      </c>
      <c r="D26" s="171">
        <f t="shared" si="2"/>
        <v>12</v>
      </c>
      <c r="E26" s="152">
        <f t="shared" si="2"/>
        <v>44000000.000000007</v>
      </c>
    </row>
    <row r="27" spans="2:5" ht="15.75" customHeight="1" x14ac:dyDescent="0.3"/>
    <row r="28" spans="2:5" ht="15.75" customHeight="1" x14ac:dyDescent="0.3"/>
    <row r="29" spans="2:5" ht="15.75" customHeight="1" x14ac:dyDescent="0.3"/>
    <row r="30" spans="2:5" ht="15.75" customHeight="1" x14ac:dyDescent="0.3"/>
    <row r="31" spans="2:5" ht="15.75" customHeight="1" x14ac:dyDescent="0.3"/>
    <row r="32" spans="2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B2:C2"/>
    <mergeCell ref="B12:B13"/>
    <mergeCell ref="C12:C13"/>
    <mergeCell ref="D12:E1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I1000"/>
  <sheetViews>
    <sheetView workbookViewId="0"/>
  </sheetViews>
  <sheetFormatPr baseColWidth="10" defaultColWidth="14.44140625" defaultRowHeight="15" customHeight="1" x14ac:dyDescent="0.3"/>
  <cols>
    <col min="1" max="1" width="11.44140625" customWidth="1"/>
    <col min="2" max="2" width="18.6640625" customWidth="1"/>
    <col min="3" max="3" width="21.109375" customWidth="1"/>
    <col min="4" max="4" width="21.5546875" customWidth="1"/>
    <col min="5" max="5" width="29.88671875" customWidth="1"/>
    <col min="6" max="6" width="21.6640625" customWidth="1"/>
    <col min="7" max="7" width="11.44140625" customWidth="1"/>
    <col min="8" max="9" width="13" customWidth="1"/>
    <col min="10" max="26" width="11.44140625" customWidth="1"/>
  </cols>
  <sheetData>
    <row r="2" spans="2:9" ht="14.4" x14ac:dyDescent="0.3">
      <c r="B2" s="185" t="s">
        <v>125</v>
      </c>
      <c r="C2" s="181"/>
      <c r="E2" s="73" t="s">
        <v>126</v>
      </c>
      <c r="F2" s="73" t="s">
        <v>127</v>
      </c>
      <c r="H2" s="86" t="s">
        <v>17</v>
      </c>
      <c r="I2" s="86" t="s">
        <v>149</v>
      </c>
    </row>
    <row r="3" spans="2:9" ht="14.4" x14ac:dyDescent="0.3">
      <c r="B3" s="40" t="s">
        <v>17</v>
      </c>
      <c r="C3" s="40" t="s">
        <v>128</v>
      </c>
      <c r="E3" s="154" t="s">
        <v>129</v>
      </c>
      <c r="F3" s="154">
        <v>9</v>
      </c>
      <c r="H3" s="96">
        <f>'Producto 1'!C2:H2</f>
        <v>0</v>
      </c>
      <c r="I3" s="95">
        <f>'Producto 1'!C10</f>
        <v>0</v>
      </c>
    </row>
    <row r="4" spans="2:9" ht="14.4" x14ac:dyDescent="0.3">
      <c r="B4" s="154" t="str">
        <f>'Estructura de Mercado'!B8</f>
        <v>Asistnte</v>
      </c>
      <c r="C4" s="154">
        <f>'Estructura de Mercado'!G8</f>
        <v>12</v>
      </c>
      <c r="E4" s="32" t="s">
        <v>130</v>
      </c>
      <c r="F4" s="32">
        <v>7</v>
      </c>
      <c r="H4" s="96">
        <f>'Producto 2'!C2:H2</f>
        <v>0</v>
      </c>
      <c r="I4" s="95">
        <f>'Producto 2'!C10</f>
        <v>0</v>
      </c>
    </row>
    <row r="5" spans="2:9" ht="14.4" x14ac:dyDescent="0.3">
      <c r="B5" s="32"/>
      <c r="C5" s="32"/>
      <c r="E5" s="32" t="s">
        <v>131</v>
      </c>
      <c r="F5" s="32">
        <v>5</v>
      </c>
      <c r="H5" s="96">
        <f>'Producto 3'!C2:H2</f>
        <v>0</v>
      </c>
      <c r="I5" s="95">
        <f>'Producto 3'!C10</f>
        <v>0</v>
      </c>
    </row>
    <row r="6" spans="2:9" ht="14.4" x14ac:dyDescent="0.3">
      <c r="B6" s="32"/>
      <c r="C6" s="32"/>
      <c r="E6" s="32" t="s">
        <v>132</v>
      </c>
      <c r="F6" s="32">
        <v>3</v>
      </c>
      <c r="H6" s="96">
        <f>'Producto 4'!C2:H2</f>
        <v>0</v>
      </c>
      <c r="I6" s="95">
        <f>'Producto 4'!C10</f>
        <v>0</v>
      </c>
    </row>
    <row r="7" spans="2:9" ht="14.4" x14ac:dyDescent="0.3">
      <c r="B7" s="157"/>
      <c r="C7" s="32"/>
      <c r="E7" s="155" t="s">
        <v>133</v>
      </c>
      <c r="F7" s="155">
        <v>0</v>
      </c>
    </row>
    <row r="8" spans="2:9" ht="14.4" x14ac:dyDescent="0.3">
      <c r="B8" s="158"/>
      <c r="C8" s="32"/>
    </row>
    <row r="9" spans="2:9" ht="14.4" x14ac:dyDescent="0.3">
      <c r="B9" s="113" t="s">
        <v>49</v>
      </c>
      <c r="C9" s="79">
        <f>SUM(C4:C8)</f>
        <v>12</v>
      </c>
      <c r="E9" s="73" t="s">
        <v>150</v>
      </c>
      <c r="F9" s="159">
        <f>SUM(I3:I6)</f>
        <v>0</v>
      </c>
    </row>
    <row r="12" spans="2:9" ht="14.4" x14ac:dyDescent="0.3">
      <c r="B12" s="191" t="s">
        <v>134</v>
      </c>
      <c r="C12" s="191" t="s">
        <v>127</v>
      </c>
      <c r="D12" s="180" t="s">
        <v>31</v>
      </c>
      <c r="E12" s="181"/>
    </row>
    <row r="13" spans="2:9" ht="14.4" x14ac:dyDescent="0.3">
      <c r="B13" s="192"/>
      <c r="C13" s="192"/>
      <c r="D13" s="160" t="s">
        <v>135</v>
      </c>
      <c r="E13" s="160" t="s">
        <v>136</v>
      </c>
    </row>
    <row r="14" spans="2:9" ht="14.4" x14ac:dyDescent="0.3">
      <c r="B14" s="154" t="s">
        <v>137</v>
      </c>
      <c r="C14" s="161">
        <v>3</v>
      </c>
      <c r="D14" s="162">
        <f t="shared" ref="D14:D25" si="0">IF($C$26&gt;0,(C14/$C$26)*$C$9,0)</f>
        <v>0.64285714285714279</v>
      </c>
      <c r="E14" s="163">
        <f t="shared" ref="E14:E25" si="1">IF($D$26&gt;0,($F$9*D14)/$D$26,)</f>
        <v>0</v>
      </c>
    </row>
    <row r="15" spans="2:9" ht="14.4" x14ac:dyDescent="0.3">
      <c r="B15" s="32" t="s">
        <v>138</v>
      </c>
      <c r="C15" s="164">
        <v>3</v>
      </c>
      <c r="D15" s="165">
        <f t="shared" si="0"/>
        <v>0.64285714285714279</v>
      </c>
      <c r="E15" s="166">
        <f t="shared" si="1"/>
        <v>0</v>
      </c>
    </row>
    <row r="16" spans="2:9" ht="14.4" x14ac:dyDescent="0.3">
      <c r="B16" s="32" t="s">
        <v>139</v>
      </c>
      <c r="C16" s="164">
        <v>5</v>
      </c>
      <c r="D16" s="165">
        <f t="shared" si="0"/>
        <v>1.0714285714285714</v>
      </c>
      <c r="E16" s="166">
        <f t="shared" si="1"/>
        <v>0</v>
      </c>
    </row>
    <row r="17" spans="2:5" ht="14.4" x14ac:dyDescent="0.3">
      <c r="B17" s="32" t="s">
        <v>140</v>
      </c>
      <c r="C17" s="164">
        <v>5</v>
      </c>
      <c r="D17" s="165">
        <f t="shared" si="0"/>
        <v>1.0714285714285714</v>
      </c>
      <c r="E17" s="166">
        <f t="shared" si="1"/>
        <v>0</v>
      </c>
    </row>
    <row r="18" spans="2:5" ht="14.4" x14ac:dyDescent="0.3">
      <c r="B18" s="32" t="s">
        <v>141</v>
      </c>
      <c r="C18" s="164">
        <v>5</v>
      </c>
      <c r="D18" s="165">
        <f t="shared" si="0"/>
        <v>1.0714285714285714</v>
      </c>
      <c r="E18" s="166">
        <f t="shared" si="1"/>
        <v>0</v>
      </c>
    </row>
    <row r="19" spans="2:5" ht="14.4" x14ac:dyDescent="0.3">
      <c r="B19" s="32" t="s">
        <v>142</v>
      </c>
      <c r="C19" s="164">
        <v>5</v>
      </c>
      <c r="D19" s="165">
        <f t="shared" si="0"/>
        <v>1.0714285714285714</v>
      </c>
      <c r="E19" s="166">
        <f t="shared" si="1"/>
        <v>0</v>
      </c>
    </row>
    <row r="20" spans="2:5" ht="14.4" x14ac:dyDescent="0.3">
      <c r="B20" s="32" t="s">
        <v>143</v>
      </c>
      <c r="C20" s="164">
        <v>5</v>
      </c>
      <c r="D20" s="165">
        <f t="shared" si="0"/>
        <v>1.0714285714285714</v>
      </c>
      <c r="E20" s="166">
        <f t="shared" si="1"/>
        <v>0</v>
      </c>
    </row>
    <row r="21" spans="2:5" ht="15.75" customHeight="1" x14ac:dyDescent="0.3">
      <c r="B21" s="32" t="s">
        <v>144</v>
      </c>
      <c r="C21" s="164">
        <v>5</v>
      </c>
      <c r="D21" s="165">
        <f t="shared" si="0"/>
        <v>1.0714285714285714</v>
      </c>
      <c r="E21" s="166">
        <f t="shared" si="1"/>
        <v>0</v>
      </c>
    </row>
    <row r="22" spans="2:5" ht="15.75" customHeight="1" x14ac:dyDescent="0.3">
      <c r="B22" s="32" t="s">
        <v>145</v>
      </c>
      <c r="C22" s="164">
        <v>5</v>
      </c>
      <c r="D22" s="165">
        <f t="shared" si="0"/>
        <v>1.0714285714285714</v>
      </c>
      <c r="E22" s="166">
        <f t="shared" si="1"/>
        <v>0</v>
      </c>
    </row>
    <row r="23" spans="2:5" ht="15.75" customHeight="1" x14ac:dyDescent="0.3">
      <c r="B23" s="32" t="s">
        <v>146</v>
      </c>
      <c r="C23" s="164">
        <v>5</v>
      </c>
      <c r="D23" s="165">
        <f t="shared" si="0"/>
        <v>1.0714285714285714</v>
      </c>
      <c r="E23" s="166">
        <f t="shared" si="1"/>
        <v>0</v>
      </c>
    </row>
    <row r="24" spans="2:5" ht="15.75" customHeight="1" x14ac:dyDescent="0.3">
      <c r="B24" s="32" t="s">
        <v>147</v>
      </c>
      <c r="C24" s="164">
        <v>5</v>
      </c>
      <c r="D24" s="165">
        <f t="shared" si="0"/>
        <v>1.0714285714285714</v>
      </c>
      <c r="E24" s="166">
        <f t="shared" si="1"/>
        <v>0</v>
      </c>
    </row>
    <row r="25" spans="2:5" ht="15.75" customHeight="1" x14ac:dyDescent="0.3">
      <c r="B25" s="157" t="s">
        <v>148</v>
      </c>
      <c r="C25" s="167">
        <v>5</v>
      </c>
      <c r="D25" s="168">
        <f t="shared" si="0"/>
        <v>1.0714285714285714</v>
      </c>
      <c r="E25" s="169">
        <f t="shared" si="1"/>
        <v>0</v>
      </c>
    </row>
    <row r="26" spans="2:5" ht="15.75" customHeight="1" x14ac:dyDescent="0.3">
      <c r="B26" s="73" t="s">
        <v>49</v>
      </c>
      <c r="C26" s="170">
        <f t="shared" ref="C26:E26" si="2">SUM(C14:C25)</f>
        <v>56</v>
      </c>
      <c r="D26" s="171">
        <f t="shared" si="2"/>
        <v>11.999999999999998</v>
      </c>
      <c r="E26" s="152">
        <f t="shared" si="2"/>
        <v>0</v>
      </c>
    </row>
    <row r="27" spans="2:5" ht="15.75" customHeight="1" x14ac:dyDescent="0.3"/>
    <row r="28" spans="2:5" ht="15.75" customHeight="1" x14ac:dyDescent="0.3"/>
    <row r="29" spans="2:5" ht="15.75" customHeight="1" x14ac:dyDescent="0.3"/>
    <row r="30" spans="2:5" ht="15.75" customHeight="1" x14ac:dyDescent="0.3"/>
    <row r="31" spans="2:5" ht="15.75" customHeight="1" x14ac:dyDescent="0.3"/>
    <row r="32" spans="2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B2:C2"/>
    <mergeCell ref="B12:B13"/>
    <mergeCell ref="C12:C13"/>
    <mergeCell ref="D12:E12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4:D1000"/>
  <sheetViews>
    <sheetView workbookViewId="0"/>
  </sheetViews>
  <sheetFormatPr baseColWidth="10" defaultColWidth="14.44140625" defaultRowHeight="15" customHeight="1" x14ac:dyDescent="0.3"/>
  <cols>
    <col min="1" max="2" width="11.44140625" customWidth="1"/>
    <col min="3" max="3" width="32.6640625" customWidth="1"/>
    <col min="4" max="4" width="35" customWidth="1"/>
    <col min="5" max="26" width="11.44140625" customWidth="1"/>
  </cols>
  <sheetData>
    <row r="4" spans="3:4" ht="14.4" x14ac:dyDescent="0.3">
      <c r="C4" s="180" t="s">
        <v>151</v>
      </c>
      <c r="D4" s="181"/>
    </row>
    <row r="5" spans="3:4" ht="14.4" x14ac:dyDescent="0.3">
      <c r="C5" s="38" t="s">
        <v>63</v>
      </c>
      <c r="D5" s="38" t="s">
        <v>65</v>
      </c>
    </row>
    <row r="6" spans="3:4" ht="14.4" x14ac:dyDescent="0.3">
      <c r="C6" s="172" t="s">
        <v>152</v>
      </c>
      <c r="D6" s="173">
        <f>SUM('Gastos de Constitución'!E11+'Gastos de Constitución'!E21)</f>
        <v>0</v>
      </c>
    </row>
    <row r="7" spans="3:4" ht="14.4" x14ac:dyDescent="0.3">
      <c r="C7" s="174" t="s">
        <v>153</v>
      </c>
      <c r="D7" s="175">
        <f>'Plan de Inversion'!I8</f>
        <v>8020232</v>
      </c>
    </row>
    <row r="8" spans="3:4" ht="14.4" x14ac:dyDescent="0.3">
      <c r="C8" s="174" t="s">
        <v>154</v>
      </c>
      <c r="D8" s="175">
        <f>'Gastos de Personal'!C17</f>
        <v>7000000</v>
      </c>
    </row>
    <row r="9" spans="3:4" ht="14.4" x14ac:dyDescent="0.3">
      <c r="C9" s="174" t="s">
        <v>97</v>
      </c>
      <c r="D9" s="175">
        <f>'Gastos de Personal'!C36</f>
        <v>3593100</v>
      </c>
    </row>
    <row r="10" spans="3:4" ht="14.4" x14ac:dyDescent="0.3">
      <c r="C10" s="174" t="s">
        <v>98</v>
      </c>
      <c r="D10" s="175">
        <f>'Gastos Administrativos'!D16</f>
        <v>1340000</v>
      </c>
    </row>
    <row r="11" spans="3:4" ht="14.4" x14ac:dyDescent="0.3">
      <c r="C11" s="174" t="s">
        <v>155</v>
      </c>
      <c r="D11" s="175">
        <f>'Gastos de Marketing'!D16</f>
        <v>0</v>
      </c>
    </row>
    <row r="12" spans="3:4" ht="14.4" x14ac:dyDescent="0.3">
      <c r="C12" s="176" t="s">
        <v>156</v>
      </c>
      <c r="D12" s="177">
        <f>'Comportamiento de Compras'!F9</f>
        <v>0</v>
      </c>
    </row>
    <row r="13" spans="3:4" ht="14.4" x14ac:dyDescent="0.3">
      <c r="C13" s="178" t="s">
        <v>157</v>
      </c>
      <c r="D13" s="179">
        <f>SUM(D6:D12)</f>
        <v>19953332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C4:D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Analisis de Mercado</vt:lpstr>
      <vt:lpstr>Estructura de Mercado</vt:lpstr>
      <vt:lpstr>Datos Economicos</vt:lpstr>
      <vt:lpstr>ParaFiscales</vt:lpstr>
      <vt:lpstr>Gastos de Constitución</vt:lpstr>
      <vt:lpstr>Plan de Inversion</vt:lpstr>
      <vt:lpstr>Gastos de Personal</vt:lpstr>
      <vt:lpstr>Gastos Administrativos</vt:lpstr>
      <vt:lpstr>Gastos de Marketing</vt:lpstr>
      <vt:lpstr>Producto 1</vt:lpstr>
      <vt:lpstr>Producto 2</vt:lpstr>
      <vt:lpstr>Producto 3</vt:lpstr>
      <vt:lpstr>Producto 4</vt:lpstr>
      <vt:lpstr>Comportamiento de Ventas</vt:lpstr>
      <vt:lpstr>Comportamiento de Compras</vt:lpstr>
      <vt:lpstr>Costos del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Andres</dc:creator>
  <cp:lastModifiedBy>JUAN FELIPE LASPRILLA MARTINEZ</cp:lastModifiedBy>
  <dcterms:created xsi:type="dcterms:W3CDTF">2023-05-18T14:47:45Z</dcterms:created>
  <dcterms:modified xsi:type="dcterms:W3CDTF">2026-03-24T15:42:10Z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b4b65bec-42e9-415c-89bf-665daa844c10</vt:lpwstr>
  </property>
</Properties>
</file>